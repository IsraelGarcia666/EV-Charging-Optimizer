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ladz\Desktop\Laurea_Linux\Basics of Programing\"/>
    </mc:Choice>
  </mc:AlternateContent>
  <xr:revisionPtr revIDLastSave="0" documentId="13_ncr:1_{65213ADA-F1C1-47C1-B4E0-86BB8836DC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 Charging Optimiz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H2" i="1" l="1"/>
  <c r="N2" i="1"/>
  <c r="N3" i="1"/>
  <c r="H3" i="1"/>
  <c r="N4" i="1"/>
  <c r="H4" i="1"/>
  <c r="N5" i="1"/>
  <c r="H5" i="1"/>
  <c r="N6" i="1"/>
  <c r="H6" i="1"/>
  <c r="N7" i="1"/>
  <c r="H7" i="1"/>
  <c r="N8" i="1"/>
  <c r="N9" i="1"/>
  <c r="H10" i="1"/>
  <c r="N10" i="1"/>
  <c r="N11" i="1"/>
  <c r="N12" i="1"/>
  <c r="H12" i="1"/>
  <c r="N13" i="1"/>
  <c r="H13" i="1"/>
  <c r="N14" i="1"/>
  <c r="N15" i="1"/>
  <c r="N16" i="1"/>
  <c r="N17" i="1"/>
  <c r="H17" i="1"/>
  <c r="N18" i="1"/>
  <c r="H18" i="1"/>
  <c r="N19" i="1"/>
  <c r="N20" i="1"/>
  <c r="N21" i="1"/>
  <c r="H21" i="1"/>
  <c r="N22" i="1"/>
  <c r="H22" i="1"/>
  <c r="N23" i="1"/>
  <c r="H23" i="1"/>
  <c r="H24" i="1"/>
  <c r="N24" i="1"/>
  <c r="H25" i="1"/>
  <c r="N25" i="1"/>
  <c r="N26" i="1"/>
  <c r="G26" i="1" s="1"/>
  <c r="I26" i="1" s="1"/>
  <c r="N27" i="1"/>
  <c r="N28" i="1"/>
  <c r="N29" i="1"/>
  <c r="N30" i="1"/>
  <c r="H30" i="1"/>
  <c r="N31" i="1"/>
  <c r="H31" i="1"/>
  <c r="H9" i="1"/>
  <c r="H11" i="1"/>
  <c r="H14" i="1"/>
  <c r="H15" i="1"/>
  <c r="H16" i="1"/>
  <c r="H20" i="1"/>
  <c r="H26" i="1"/>
  <c r="H27" i="1"/>
  <c r="H28" i="1"/>
  <c r="H29" i="1"/>
  <c r="H19" i="1"/>
  <c r="H8" i="1"/>
  <c r="G31" i="1" l="1"/>
  <c r="I31" i="1" s="1"/>
  <c r="G30" i="1"/>
  <c r="I30" i="1" s="1"/>
  <c r="G16" i="1"/>
  <c r="I16" i="1" s="1"/>
  <c r="G28" i="1"/>
  <c r="I28" i="1" s="1"/>
  <c r="G17" i="1"/>
  <c r="I17" i="1" s="1"/>
  <c r="G23" i="1"/>
  <c r="I23" i="1" s="1"/>
  <c r="G22" i="1"/>
  <c r="I22" i="1" s="1"/>
  <c r="G29" i="1"/>
  <c r="G27" i="1"/>
  <c r="I27" i="1" s="1"/>
  <c r="G18" i="1"/>
  <c r="I18" i="1" s="1"/>
  <c r="G25" i="1"/>
  <c r="I25" i="1" s="1"/>
  <c r="G24" i="1"/>
  <c r="J24" i="1" s="1"/>
  <c r="G14" i="1"/>
  <c r="I14" i="1" s="1"/>
  <c r="G21" i="1"/>
  <c r="J21" i="1" s="1"/>
  <c r="G20" i="1"/>
  <c r="I20" i="1" s="1"/>
  <c r="G19" i="1"/>
  <c r="G15" i="1"/>
  <c r="G13" i="1"/>
  <c r="I13" i="1" s="1"/>
  <c r="J26" i="1"/>
  <c r="G8" i="1"/>
  <c r="J8" i="1" s="1"/>
  <c r="G7" i="1"/>
  <c r="I7" i="1" s="1"/>
  <c r="G6" i="1"/>
  <c r="I6" i="1" s="1"/>
  <c r="G11" i="1"/>
  <c r="I11" i="1" s="1"/>
  <c r="J22" i="1"/>
  <c r="J23" i="1"/>
  <c r="G10" i="1"/>
  <c r="I10" i="1" s="1"/>
  <c r="G9" i="1"/>
  <c r="I9" i="1" s="1"/>
  <c r="J28" i="1"/>
  <c r="G12" i="1"/>
  <c r="J12" i="1" s="1"/>
  <c r="G5" i="1"/>
  <c r="I5" i="1" s="1"/>
  <c r="G4" i="1"/>
  <c r="I4" i="1" s="1"/>
  <c r="G3" i="1"/>
  <c r="J3" i="1" s="1"/>
  <c r="G2" i="1"/>
  <c r="I2" i="1" s="1"/>
  <c r="J4" i="1" l="1"/>
  <c r="J20" i="1"/>
  <c r="I21" i="1"/>
  <c r="I24" i="1"/>
  <c r="J7" i="1"/>
  <c r="I8" i="1"/>
  <c r="J17" i="1"/>
  <c r="J14" i="1"/>
  <c r="J18" i="1"/>
  <c r="J31" i="1"/>
  <c r="J30" i="1"/>
  <c r="J16" i="1"/>
  <c r="I29" i="1"/>
  <c r="J29" i="1"/>
  <c r="J25" i="1"/>
  <c r="J27" i="1"/>
  <c r="I19" i="1"/>
  <c r="J19" i="1"/>
  <c r="I15" i="1"/>
  <c r="J15" i="1"/>
  <c r="J11" i="1"/>
  <c r="J13" i="1"/>
  <c r="I12" i="1"/>
  <c r="J9" i="1"/>
  <c r="J10" i="1"/>
  <c r="J6" i="1"/>
  <c r="J5" i="1"/>
  <c r="I3" i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tc={768C3784-C8E2-456E-BC6B-220DC71F8FA6}</author>
  </authors>
  <commentList>
    <comment ref="K32" authorId="0" shapeId="0" xr:uid="{768C3784-C8E2-456E-BC6B-220DC71F8FA6}">
      <text>
        <t>[Threaded comment]
Your version of Excel allows you to read this threaded comment; however, any edits to it will get removed if the file is opened in a newer version of Excel. Learn more: https://go.microsoft.com/fwlink/?linkid=870924
Comment:
    Fixed monthly fees:
Network basic charge: 10,99 €/month
Electricity seller basic fee: 4,96 €/month
Total fixed monthly fees: 15,95 €/month
These are paid monthly regardless of charging time, so they are shown separately and not used in the hourly optimization.</t>
      </text>
    </comment>
  </commentList>
</comments>
</file>

<file path=xl/sharedStrings.xml><?xml version="1.0" encoding="utf-8"?>
<sst xmlns="http://schemas.openxmlformats.org/spreadsheetml/2006/main" count="14" uniqueCount="14">
  <si>
    <t>Time</t>
  </si>
  <si>
    <t>Solar (kW)</t>
  </si>
  <si>
    <t>Car Demand (kW)</t>
  </si>
  <si>
    <t>Grid (kW)</t>
  </si>
  <si>
    <t>Better than Night?</t>
  </si>
  <si>
    <t>Recommendation</t>
  </si>
  <si>
    <t>Fixed fee (c/kWh)</t>
  </si>
  <si>
    <t>Real Price (snt/kWh)</t>
  </si>
  <si>
    <t>Stock Price (snt/kWh)</t>
  </si>
  <si>
    <t>Savings vs Night (€)</t>
  </si>
  <si>
    <t>Cost (€)</t>
  </si>
  <si>
    <t>Night Spot Price (c/kWh)</t>
  </si>
  <si>
    <t>Night Cost (€)</t>
  </si>
  <si>
    <t>Night All-in Price (snt/kWh)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</si>
</sst>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]h\.mm;@" x16r2:formatCode16="[$-en-FI,1]h\.mm;@"/>
    <numFmt numFmtId="165" formatCode="[$-F400]h:mm:ss\ AM/PM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92D050"/>
        <bgColor theme="6" tint="0.79998168889431442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2" fontId="0" fillId="0" borderId="0" xfId="0" applyNumberFormat="1"/>
    <xf numFmtId="2" fontId="0" fillId="0" borderId="0" xfId="1" applyNumberFormat="1" applyFont="1"/>
    <xf numFmtId="2" fontId="0" fillId="3" borderId="1" xfId="0" applyNumberFormat="1" applyFill="1" applyBorder="1"/>
    <xf numFmtId="0" fontId="0" fillId="3" borderId="1" xfId="0" applyFill="1" applyBorder="1"/>
    <xf numFmtId="2" fontId="0" fillId="3" borderId="1" xfId="1" applyNumberFormat="1" applyFont="1" applyFill="1" applyBorder="1"/>
    <xf numFmtId="2" fontId="0" fillId="0" borderId="1" xfId="0" applyNumberFormat="1" applyBorder="1"/>
    <xf numFmtId="0" fontId="0" fillId="0" borderId="1" xfId="0" applyBorder="1"/>
    <xf numFmtId="2" fontId="0" fillId="0" borderId="1" xfId="1" applyNumberFormat="1" applyFont="1" applyBorder="1"/>
    <xf numFmtId="0" fontId="2" fillId="2" borderId="0" xfId="0" applyFont="1" applyFill="1"/>
    <xf numFmtId="2" fontId="2" fillId="2" borderId="0" xfId="0" applyNumberFormat="1" applyFont="1" applyFill="1"/>
    <xf numFmtId="12" fontId="2" fillId="2" borderId="0" xfId="0" applyNumberFormat="1" applyFont="1" applyFill="1"/>
    <xf numFmtId="165" fontId="2" fillId="2" borderId="0" xfId="0" applyNumberFormat="1" applyFont="1" applyFill="1"/>
    <xf numFmtId="164" fontId="0" fillId="3" borderId="1" xfId="0" applyNumberFormat="1" applyFill="1" applyBorder="1"/>
    <xf numFmtId="20" fontId="0" fillId="0" borderId="1" xfId="0" applyNumberFormat="1" applyBorder="1"/>
    <xf numFmtId="20" fontId="0" fillId="3" borderId="1" xfId="0" applyNumberFormat="1" applyFill="1" applyBorder="1"/>
    <xf numFmtId="164" fontId="0" fillId="0" borderId="1" xfId="0" applyNumberFormat="1" applyBorder="1" applyAlignment="1">
      <alignment horizontal="right"/>
    </xf>
    <xf numFmtId="20" fontId="0" fillId="3" borderId="1" xfId="0" applyNumberFormat="1" applyFill="1" applyBorder="1" applyAlignment="1">
      <alignment horizontal="right"/>
    </xf>
    <xf numFmtId="20" fontId="0" fillId="0" borderId="1" xfId="0" applyNumberFormat="1" applyBorder="1" applyAlignment="1">
      <alignment horizontal="right"/>
    </xf>
    <xf numFmtId="20" fontId="0" fillId="4" borderId="1" xfId="0" applyNumberFormat="1" applyFill="1" applyBorder="1"/>
    <xf numFmtId="2" fontId="0" fillId="4" borderId="1" xfId="0" applyNumberFormat="1" applyFill="1" applyBorder="1"/>
    <xf numFmtId="0" fontId="0" fillId="4" borderId="1" xfId="0" applyFill="1" applyBorder="1"/>
    <xf numFmtId="2" fontId="0" fillId="4" borderId="1" xfId="1" applyNumberFormat="1" applyFont="1" applyFill="1" applyBorder="1"/>
    <xf numFmtId="20" fontId="0" fillId="5" borderId="1" xfId="0" applyNumberFormat="1" applyFill="1" applyBorder="1"/>
    <xf numFmtId="2" fontId="0" fillId="5" borderId="1" xfId="0" applyNumberFormat="1" applyFill="1" applyBorder="1"/>
    <xf numFmtId="0" fontId="0" fillId="5" borderId="1" xfId="0" applyFill="1" applyBorder="1"/>
    <xf numFmtId="2" fontId="0" fillId="5" borderId="1" xfId="1" applyNumberFormat="1" applyFont="1" applyFill="1" applyBorder="1"/>
    <xf numFmtId="164" fontId="0" fillId="5" borderId="1" xfId="0" applyNumberFormat="1" applyFill="1" applyBorder="1" applyAlignment="1">
      <alignment horizontal="right"/>
    </xf>
    <xf numFmtId="164" fontId="0" fillId="4" borderId="1" xfId="0" applyNumberFormat="1" applyFill="1" applyBorder="1" applyAlignment="1">
      <alignment horizontal="right"/>
    </xf>
    <xf numFmtId="20" fontId="0" fillId="5" borderId="1" xfId="0" applyNumberFormat="1" applyFill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14">
    <dxf>
      <numFmt numFmtId="0" formatCode="General"/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 outline="0">
        <left/>
        <right/>
        <top style="thin">
          <color theme="6" tint="0.39997558519241921"/>
        </top>
        <bottom/>
      </border>
    </dxf>
    <dxf>
      <numFmt numFmtId="2" formatCode="0.0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border outline="0"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6"/>
          <bgColor theme="6"/>
        </patternFill>
      </fill>
    </dxf>
  </dxfs>
  <tableStyles count="0" defaultTableStyle="TableStyleMedium9" defaultPivotStyle="PivotStyleLight16"/>
  <colors>
    <mruColors>
      <color rgb="FF15F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419" sz="14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GRAPH 1 — Solar vs Grid (power behavior)</a:t>
            </a:r>
            <a:endParaRPr lang="es-419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'EV Charging Optimizer'!$B$1</c:f>
              <c:strCache>
                <c:ptCount val="1"/>
                <c:pt idx="0">
                  <c:v>Solar (kW)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'EV Charging Optimizer'!$A$1:$A$31</c:f>
              <c:strCache>
                <c:ptCount val="31"/>
                <c:pt idx="0">
                  <c:v>Time</c:v>
                </c:pt>
                <c:pt idx="1">
                  <c:v>0.00</c:v>
                </c:pt>
                <c:pt idx="2">
                  <c:v>1.00</c:v>
                </c:pt>
                <c:pt idx="3">
                  <c:v>2.00</c:v>
                </c:pt>
                <c:pt idx="4">
                  <c:v>3.00</c:v>
                </c:pt>
                <c:pt idx="5">
                  <c:v>4.00</c:v>
                </c:pt>
                <c:pt idx="6">
                  <c:v>5.00</c:v>
                </c:pt>
                <c:pt idx="7">
                  <c:v>6.00</c:v>
                </c:pt>
                <c:pt idx="8">
                  <c:v>7.00</c:v>
                </c:pt>
                <c:pt idx="9">
                  <c:v>8.00</c:v>
                </c:pt>
                <c:pt idx="10">
                  <c:v>8.15</c:v>
                </c:pt>
                <c:pt idx="11">
                  <c:v>8.30</c:v>
                </c:pt>
                <c:pt idx="12">
                  <c:v>8.45</c:v>
                </c:pt>
                <c:pt idx="13">
                  <c:v>9.00</c:v>
                </c:pt>
                <c:pt idx="14">
                  <c:v>10.00</c:v>
                </c:pt>
                <c:pt idx="15">
                  <c:v>11.00</c:v>
                </c:pt>
                <c:pt idx="16">
                  <c:v>12.00</c:v>
                </c:pt>
                <c:pt idx="17">
                  <c:v>13.00</c:v>
                </c:pt>
                <c:pt idx="18">
                  <c:v>14.00</c:v>
                </c:pt>
                <c:pt idx="19">
                  <c:v>15.00</c:v>
                </c:pt>
                <c:pt idx="20">
                  <c:v>15.15</c:v>
                </c:pt>
                <c:pt idx="21">
                  <c:v>15.30</c:v>
                </c:pt>
                <c:pt idx="22">
                  <c:v>15.45</c:v>
                </c:pt>
                <c:pt idx="23">
                  <c:v>16.00</c:v>
                </c:pt>
                <c:pt idx="24">
                  <c:v>17.00</c:v>
                </c:pt>
                <c:pt idx="25">
                  <c:v>18.00</c:v>
                </c:pt>
                <c:pt idx="26">
                  <c:v>19.00</c:v>
                </c:pt>
                <c:pt idx="27">
                  <c:v>20.00</c:v>
                </c:pt>
                <c:pt idx="28">
                  <c:v>21.00</c:v>
                </c:pt>
                <c:pt idx="29">
                  <c:v>22.00</c:v>
                </c:pt>
                <c:pt idx="30">
                  <c:v>23.00</c:v>
                </c:pt>
              </c:strCache>
            </c:strRef>
          </c:cat>
          <c:val>
            <c:numRef>
              <c:f>'EV Charging Optimizer'!$B$1:$B$31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7.0000000000000007E-2</c:v>
                </c:pt>
                <c:pt idx="8">
                  <c:v>0.3</c:v>
                </c:pt>
                <c:pt idx="9">
                  <c:v>0.6</c:v>
                </c:pt>
                <c:pt idx="10">
                  <c:v>0.7</c:v>
                </c:pt>
                <c:pt idx="11">
                  <c:v>0.84</c:v>
                </c:pt>
                <c:pt idx="12">
                  <c:v>1.9</c:v>
                </c:pt>
                <c:pt idx="13">
                  <c:v>2.48</c:v>
                </c:pt>
                <c:pt idx="14">
                  <c:v>1.18</c:v>
                </c:pt>
                <c:pt idx="15">
                  <c:v>0.69</c:v>
                </c:pt>
                <c:pt idx="16">
                  <c:v>0.84</c:v>
                </c:pt>
                <c:pt idx="17">
                  <c:v>0.84</c:v>
                </c:pt>
                <c:pt idx="18">
                  <c:v>0.84</c:v>
                </c:pt>
                <c:pt idx="19">
                  <c:v>1.1100000000000001</c:v>
                </c:pt>
                <c:pt idx="20">
                  <c:v>1.1100000000000001</c:v>
                </c:pt>
                <c:pt idx="21">
                  <c:v>1.1100000000000001</c:v>
                </c:pt>
                <c:pt idx="22">
                  <c:v>0.81</c:v>
                </c:pt>
                <c:pt idx="23">
                  <c:v>1.08</c:v>
                </c:pt>
                <c:pt idx="24">
                  <c:v>0.35</c:v>
                </c:pt>
                <c:pt idx="25">
                  <c:v>0.06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AE-45F8-AF11-6D6E9C3646DF}"/>
            </c:ext>
          </c:extLst>
        </c:ser>
        <c:ser>
          <c:idx val="1"/>
          <c:order val="1"/>
          <c:tx>
            <c:strRef>
              <c:f>'EV Charging Optimizer'!$F$1</c:f>
              <c:strCache>
                <c:ptCount val="1"/>
                <c:pt idx="0">
                  <c:v>Grid (kW)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'EV Charging Optimizer'!$A$1:$A$31</c:f>
              <c:strCache>
                <c:ptCount val="31"/>
                <c:pt idx="0">
                  <c:v>Time</c:v>
                </c:pt>
                <c:pt idx="1">
                  <c:v>0.00</c:v>
                </c:pt>
                <c:pt idx="2">
                  <c:v>1.00</c:v>
                </c:pt>
                <c:pt idx="3">
                  <c:v>2.00</c:v>
                </c:pt>
                <c:pt idx="4">
                  <c:v>3.00</c:v>
                </c:pt>
                <c:pt idx="5">
                  <c:v>4.00</c:v>
                </c:pt>
                <c:pt idx="6">
                  <c:v>5.00</c:v>
                </c:pt>
                <c:pt idx="7">
                  <c:v>6.00</c:v>
                </c:pt>
                <c:pt idx="8">
                  <c:v>7.00</c:v>
                </c:pt>
                <c:pt idx="9">
                  <c:v>8.00</c:v>
                </c:pt>
                <c:pt idx="10">
                  <c:v>8.15</c:v>
                </c:pt>
                <c:pt idx="11">
                  <c:v>8.30</c:v>
                </c:pt>
                <c:pt idx="12">
                  <c:v>8.45</c:v>
                </c:pt>
                <c:pt idx="13">
                  <c:v>9.00</c:v>
                </c:pt>
                <c:pt idx="14">
                  <c:v>10.00</c:v>
                </c:pt>
                <c:pt idx="15">
                  <c:v>11.00</c:v>
                </c:pt>
                <c:pt idx="16">
                  <c:v>12.00</c:v>
                </c:pt>
                <c:pt idx="17">
                  <c:v>13.00</c:v>
                </c:pt>
                <c:pt idx="18">
                  <c:v>14.00</c:v>
                </c:pt>
                <c:pt idx="19">
                  <c:v>15.00</c:v>
                </c:pt>
                <c:pt idx="20">
                  <c:v>15.15</c:v>
                </c:pt>
                <c:pt idx="21">
                  <c:v>15.30</c:v>
                </c:pt>
                <c:pt idx="22">
                  <c:v>15.45</c:v>
                </c:pt>
                <c:pt idx="23">
                  <c:v>16.00</c:v>
                </c:pt>
                <c:pt idx="24">
                  <c:v>17.00</c:v>
                </c:pt>
                <c:pt idx="25">
                  <c:v>18.00</c:v>
                </c:pt>
                <c:pt idx="26">
                  <c:v>19.00</c:v>
                </c:pt>
                <c:pt idx="27">
                  <c:v>20.00</c:v>
                </c:pt>
                <c:pt idx="28">
                  <c:v>21.00</c:v>
                </c:pt>
                <c:pt idx="29">
                  <c:v>22.00</c:v>
                </c:pt>
                <c:pt idx="30">
                  <c:v>23.00</c:v>
                </c:pt>
              </c:strCache>
            </c:strRef>
          </c:cat>
          <c:val>
            <c:numRef>
              <c:f>'EV Charging Optimizer'!$F$1:$F$31</c:f>
              <c:numCache>
                <c:formatCode>0.00</c:formatCode>
                <c:ptCount val="31"/>
                <c:pt idx="0">
                  <c:v>0</c:v>
                </c:pt>
                <c:pt idx="1">
                  <c:v>2.8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2.8</c:v>
                </c:pt>
                <c:pt idx="7">
                  <c:v>2.73</c:v>
                </c:pt>
                <c:pt idx="8">
                  <c:v>2.5</c:v>
                </c:pt>
                <c:pt idx="9">
                  <c:v>2.1999999999999997</c:v>
                </c:pt>
                <c:pt idx="10">
                  <c:v>2.0999999999999996</c:v>
                </c:pt>
                <c:pt idx="11">
                  <c:v>1.96</c:v>
                </c:pt>
                <c:pt idx="12">
                  <c:v>0.89999999999999991</c:v>
                </c:pt>
                <c:pt idx="13">
                  <c:v>0.31999999999999984</c:v>
                </c:pt>
                <c:pt idx="14">
                  <c:v>1.6199999999999999</c:v>
                </c:pt>
                <c:pt idx="15">
                  <c:v>2.11</c:v>
                </c:pt>
                <c:pt idx="16">
                  <c:v>1.96</c:v>
                </c:pt>
                <c:pt idx="17">
                  <c:v>1.96</c:v>
                </c:pt>
                <c:pt idx="18">
                  <c:v>1.96</c:v>
                </c:pt>
                <c:pt idx="19">
                  <c:v>1.6899999999999997</c:v>
                </c:pt>
                <c:pt idx="20">
                  <c:v>1.6899999999999997</c:v>
                </c:pt>
                <c:pt idx="21">
                  <c:v>1.6899999999999997</c:v>
                </c:pt>
                <c:pt idx="22">
                  <c:v>1.9899999999999998</c:v>
                </c:pt>
                <c:pt idx="23">
                  <c:v>1.7199999999999998</c:v>
                </c:pt>
                <c:pt idx="24">
                  <c:v>2.4499999999999997</c:v>
                </c:pt>
                <c:pt idx="25">
                  <c:v>2.7399999999999998</c:v>
                </c:pt>
                <c:pt idx="26">
                  <c:v>2.8</c:v>
                </c:pt>
                <c:pt idx="27">
                  <c:v>2.8</c:v>
                </c:pt>
                <c:pt idx="28">
                  <c:v>2.8</c:v>
                </c:pt>
                <c:pt idx="29">
                  <c:v>2.8</c:v>
                </c:pt>
                <c:pt idx="30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AE-45F8-AF11-6D6E9C364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9013040"/>
        <c:axId val="1549015440"/>
      </c:lineChart>
      <c:catAx>
        <c:axId val="154901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Timing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549015440"/>
        <c:crosses val="autoZero"/>
        <c:auto val="1"/>
        <c:lblAlgn val="ctr"/>
        <c:lblOffset val="100"/>
        <c:noMultiLvlLbl val="0"/>
      </c:catAx>
      <c:valAx>
        <c:axId val="154901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Kw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54901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419"/>
              <a:t>GRAPH 2 — Cost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dk1">
              <a:lumMod val="50000"/>
              <a:lumOff val="50000"/>
            </a:schemeClr>
          </a:solidFill>
          <a:round/>
        </a:ln>
        <a:effectLst/>
        <a:sp3d contourW="9525">
          <a:contourClr>
            <a:schemeClr val="dk1">
              <a:lumMod val="50000"/>
              <a:lumOff val="5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'EV Charging Optimizer'!$H$1</c:f>
              <c:strCache>
                <c:ptCount val="1"/>
                <c:pt idx="0">
                  <c:v>Cost (€)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strRef>
              <c:f>'EV Charging Optimizer'!$A$1:$A$31</c:f>
              <c:strCache>
                <c:ptCount val="31"/>
                <c:pt idx="0">
                  <c:v>Time</c:v>
                </c:pt>
                <c:pt idx="1">
                  <c:v>0.00</c:v>
                </c:pt>
                <c:pt idx="2">
                  <c:v>1.00</c:v>
                </c:pt>
                <c:pt idx="3">
                  <c:v>2.00</c:v>
                </c:pt>
                <c:pt idx="4">
                  <c:v>3.00</c:v>
                </c:pt>
                <c:pt idx="5">
                  <c:v>4.00</c:v>
                </c:pt>
                <c:pt idx="6">
                  <c:v>5.00</c:v>
                </c:pt>
                <c:pt idx="7">
                  <c:v>6.00</c:v>
                </c:pt>
                <c:pt idx="8">
                  <c:v>7.00</c:v>
                </c:pt>
                <c:pt idx="9">
                  <c:v>8.00</c:v>
                </c:pt>
                <c:pt idx="10">
                  <c:v>8.15</c:v>
                </c:pt>
                <c:pt idx="11">
                  <c:v>8.30</c:v>
                </c:pt>
                <c:pt idx="12">
                  <c:v>8.45</c:v>
                </c:pt>
                <c:pt idx="13">
                  <c:v>9.00</c:v>
                </c:pt>
                <c:pt idx="14">
                  <c:v>10.00</c:v>
                </c:pt>
                <c:pt idx="15">
                  <c:v>11.00</c:v>
                </c:pt>
                <c:pt idx="16">
                  <c:v>12.00</c:v>
                </c:pt>
                <c:pt idx="17">
                  <c:v>13.00</c:v>
                </c:pt>
                <c:pt idx="18">
                  <c:v>14.00</c:v>
                </c:pt>
                <c:pt idx="19">
                  <c:v>15.00</c:v>
                </c:pt>
                <c:pt idx="20">
                  <c:v>15.15</c:v>
                </c:pt>
                <c:pt idx="21">
                  <c:v>15.30</c:v>
                </c:pt>
                <c:pt idx="22">
                  <c:v>15.45</c:v>
                </c:pt>
                <c:pt idx="23">
                  <c:v>16.00</c:v>
                </c:pt>
                <c:pt idx="24">
                  <c:v>17.00</c:v>
                </c:pt>
                <c:pt idx="25">
                  <c:v>18.00</c:v>
                </c:pt>
                <c:pt idx="26">
                  <c:v>19.00</c:v>
                </c:pt>
                <c:pt idx="27">
                  <c:v>20.00</c:v>
                </c:pt>
                <c:pt idx="28">
                  <c:v>21.00</c:v>
                </c:pt>
                <c:pt idx="29">
                  <c:v>22.00</c:v>
                </c:pt>
                <c:pt idx="30">
                  <c:v>23.00</c:v>
                </c:pt>
              </c:strCache>
            </c:strRef>
          </c:cat>
          <c:val>
            <c:numRef>
              <c:f>'EV Charging Optimizer'!$H$1:$H$31</c:f>
              <c:numCache>
                <c:formatCode>General</c:formatCode>
                <c:ptCount val="31"/>
                <c:pt idx="0">
                  <c:v>0</c:v>
                </c:pt>
                <c:pt idx="1">
                  <c:v>0.26571999999999996</c:v>
                </c:pt>
                <c:pt idx="2">
                  <c:v>0.26571999999999996</c:v>
                </c:pt>
                <c:pt idx="3">
                  <c:v>0.26571999999999996</c:v>
                </c:pt>
                <c:pt idx="4">
                  <c:v>0.26571999999999996</c:v>
                </c:pt>
                <c:pt idx="5">
                  <c:v>0.26571999999999996</c:v>
                </c:pt>
                <c:pt idx="6">
                  <c:v>0.26571999999999996</c:v>
                </c:pt>
                <c:pt idx="7">
                  <c:v>0.25907699999999995</c:v>
                </c:pt>
                <c:pt idx="8">
                  <c:v>0.35824999999999996</c:v>
                </c:pt>
                <c:pt idx="9">
                  <c:v>0.31525999999999993</c:v>
                </c:pt>
                <c:pt idx="10">
                  <c:v>0.30092999999999992</c:v>
                </c:pt>
                <c:pt idx="11">
                  <c:v>0.28086799999999995</c:v>
                </c:pt>
                <c:pt idx="12">
                  <c:v>0.12896999999999997</c:v>
                </c:pt>
                <c:pt idx="13">
                  <c:v>4.5855999999999966E-2</c:v>
                </c:pt>
                <c:pt idx="14">
                  <c:v>0.23214599999999996</c:v>
                </c:pt>
                <c:pt idx="15">
                  <c:v>0.30236299999999994</c:v>
                </c:pt>
                <c:pt idx="16">
                  <c:v>0.28086799999999995</c:v>
                </c:pt>
                <c:pt idx="17">
                  <c:v>0.28086799999999995</c:v>
                </c:pt>
                <c:pt idx="18">
                  <c:v>0.28086799999999995</c:v>
                </c:pt>
                <c:pt idx="19">
                  <c:v>0.24217699999999995</c:v>
                </c:pt>
                <c:pt idx="20">
                  <c:v>0.24217699999999995</c:v>
                </c:pt>
                <c:pt idx="21">
                  <c:v>0.24217699999999995</c:v>
                </c:pt>
                <c:pt idx="22">
                  <c:v>0.28516699999999995</c:v>
                </c:pt>
                <c:pt idx="23">
                  <c:v>0.24647599999999995</c:v>
                </c:pt>
                <c:pt idx="24">
                  <c:v>0.35108499999999992</c:v>
                </c:pt>
                <c:pt idx="25">
                  <c:v>0.39264199999999994</c:v>
                </c:pt>
                <c:pt idx="26">
                  <c:v>0.40123999999999993</c:v>
                </c:pt>
                <c:pt idx="27">
                  <c:v>0.40123999999999993</c:v>
                </c:pt>
                <c:pt idx="28">
                  <c:v>0.40123999999999993</c:v>
                </c:pt>
                <c:pt idx="29">
                  <c:v>0.26571999999999996</c:v>
                </c:pt>
                <c:pt idx="30">
                  <c:v>0.26571999999999996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33-4960-884B-BA00960DD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5137312"/>
        <c:axId val="1335138752"/>
        <c:axId val="1325551968"/>
      </c:area3DChart>
      <c:catAx>
        <c:axId val="1335137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335138752"/>
        <c:crosses val="autoZero"/>
        <c:auto val="1"/>
        <c:lblAlgn val="ctr"/>
        <c:lblOffset val="100"/>
        <c:noMultiLvlLbl val="0"/>
      </c:catAx>
      <c:valAx>
        <c:axId val="133513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cents/Kwh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335137312"/>
        <c:crosses val="autoZero"/>
        <c:crossBetween val="midCat"/>
      </c:valAx>
      <c:serAx>
        <c:axId val="1325551968"/>
        <c:scaling>
          <c:orientation val="minMax"/>
        </c:scaling>
        <c:delete val="0"/>
        <c:axPos val="b"/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Night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33513875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419">
                <a:solidFill>
                  <a:srgbClr val="15FF7F"/>
                </a:solidFill>
              </a:rPr>
              <a:t>Best EV Charging Window: Solar Production vs Price</a:t>
            </a:r>
          </a:p>
        </c:rich>
      </c:tx>
      <c:layout>
        <c:manualLayout>
          <c:xMode val="edge"/>
          <c:yMode val="edge"/>
          <c:x val="2.6812335958005251E-2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F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'EV Charging Optimizer'!$B$1</c:f>
              <c:strCache>
                <c:ptCount val="1"/>
                <c:pt idx="0">
                  <c:v>Solar (kW)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76000"/>
                    <a:shade val="51000"/>
                    <a:satMod val="130000"/>
                  </a:schemeClr>
                </a:gs>
                <a:gs pos="80000">
                  <a:schemeClr val="accent2">
                    <a:shade val="76000"/>
                    <a:shade val="93000"/>
                    <a:satMod val="130000"/>
                  </a:schemeClr>
                </a:gs>
                <a:gs pos="100000">
                  <a:schemeClr val="accent2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'EV Charging Optimizer'!$A$1:$A$31</c:f>
              <c:strCache>
                <c:ptCount val="31"/>
                <c:pt idx="0">
                  <c:v>Time</c:v>
                </c:pt>
                <c:pt idx="1">
                  <c:v>0.00</c:v>
                </c:pt>
                <c:pt idx="2">
                  <c:v>1.00</c:v>
                </c:pt>
                <c:pt idx="3">
                  <c:v>2.00</c:v>
                </c:pt>
                <c:pt idx="4">
                  <c:v>3.00</c:v>
                </c:pt>
                <c:pt idx="5">
                  <c:v>4.00</c:v>
                </c:pt>
                <c:pt idx="6">
                  <c:v>5.00</c:v>
                </c:pt>
                <c:pt idx="7">
                  <c:v>6.00</c:v>
                </c:pt>
                <c:pt idx="8">
                  <c:v>7.00</c:v>
                </c:pt>
                <c:pt idx="9">
                  <c:v>8.00</c:v>
                </c:pt>
                <c:pt idx="10">
                  <c:v>8.15</c:v>
                </c:pt>
                <c:pt idx="11">
                  <c:v>8.30</c:v>
                </c:pt>
                <c:pt idx="12">
                  <c:v>8.45</c:v>
                </c:pt>
                <c:pt idx="13">
                  <c:v>9.00</c:v>
                </c:pt>
                <c:pt idx="14">
                  <c:v>10.00</c:v>
                </c:pt>
                <c:pt idx="15">
                  <c:v>11.00</c:v>
                </c:pt>
                <c:pt idx="16">
                  <c:v>12.00</c:v>
                </c:pt>
                <c:pt idx="17">
                  <c:v>13.00</c:v>
                </c:pt>
                <c:pt idx="18">
                  <c:v>14.00</c:v>
                </c:pt>
                <c:pt idx="19">
                  <c:v>15.00</c:v>
                </c:pt>
                <c:pt idx="20">
                  <c:v>15.15</c:v>
                </c:pt>
                <c:pt idx="21">
                  <c:v>15.30</c:v>
                </c:pt>
                <c:pt idx="22">
                  <c:v>15.45</c:v>
                </c:pt>
                <c:pt idx="23">
                  <c:v>16.00</c:v>
                </c:pt>
                <c:pt idx="24">
                  <c:v>17.00</c:v>
                </c:pt>
                <c:pt idx="25">
                  <c:v>18.00</c:v>
                </c:pt>
                <c:pt idx="26">
                  <c:v>19.00</c:v>
                </c:pt>
                <c:pt idx="27">
                  <c:v>20.00</c:v>
                </c:pt>
                <c:pt idx="28">
                  <c:v>21.00</c:v>
                </c:pt>
                <c:pt idx="29">
                  <c:v>22.00</c:v>
                </c:pt>
                <c:pt idx="30">
                  <c:v>23.00</c:v>
                </c:pt>
              </c:strCache>
            </c:strRef>
          </c:cat>
          <c:val>
            <c:numRef>
              <c:f>'EV Charging Optimizer'!$B$1:$B$31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7.0000000000000007E-2</c:v>
                </c:pt>
                <c:pt idx="8">
                  <c:v>0.3</c:v>
                </c:pt>
                <c:pt idx="9">
                  <c:v>0.6</c:v>
                </c:pt>
                <c:pt idx="10">
                  <c:v>0.7</c:v>
                </c:pt>
                <c:pt idx="11">
                  <c:v>0.84</c:v>
                </c:pt>
                <c:pt idx="12">
                  <c:v>1.9</c:v>
                </c:pt>
                <c:pt idx="13">
                  <c:v>2.48</c:v>
                </c:pt>
                <c:pt idx="14">
                  <c:v>1.18</c:v>
                </c:pt>
                <c:pt idx="15">
                  <c:v>0.69</c:v>
                </c:pt>
                <c:pt idx="16">
                  <c:v>0.84</c:v>
                </c:pt>
                <c:pt idx="17">
                  <c:v>0.84</c:v>
                </c:pt>
                <c:pt idx="18">
                  <c:v>0.84</c:v>
                </c:pt>
                <c:pt idx="19">
                  <c:v>1.1100000000000001</c:v>
                </c:pt>
                <c:pt idx="20">
                  <c:v>1.1100000000000001</c:v>
                </c:pt>
                <c:pt idx="21">
                  <c:v>1.1100000000000001</c:v>
                </c:pt>
                <c:pt idx="22">
                  <c:v>0.81</c:v>
                </c:pt>
                <c:pt idx="23">
                  <c:v>1.08</c:v>
                </c:pt>
                <c:pt idx="24">
                  <c:v>0.35</c:v>
                </c:pt>
                <c:pt idx="25">
                  <c:v>0.06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62-44E2-BC70-7B9CE51D0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7787888"/>
        <c:axId val="1847789808"/>
      </c:barChart>
      <c:lineChart>
        <c:grouping val="standard"/>
        <c:varyColors val="0"/>
        <c:ser>
          <c:idx val="1"/>
          <c:order val="1"/>
          <c:tx>
            <c:strRef>
              <c:f>'EV Charging Optimizer'!$C$1</c:f>
              <c:strCache>
                <c:ptCount val="1"/>
                <c:pt idx="0">
                  <c:v>Stock Price (snt/kWh)</c:v>
                </c:pt>
              </c:strCache>
            </c:strRef>
          </c:tx>
          <c:spPr>
            <a:ln w="34925" cap="rnd">
              <a:solidFill>
                <a:schemeClr val="accent2">
                  <a:tint val="77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'EV Charging Optimizer'!$A$1:$A$31</c:f>
              <c:strCache>
                <c:ptCount val="31"/>
                <c:pt idx="0">
                  <c:v>Time</c:v>
                </c:pt>
                <c:pt idx="1">
                  <c:v>0.00</c:v>
                </c:pt>
                <c:pt idx="2">
                  <c:v>1.00</c:v>
                </c:pt>
                <c:pt idx="3">
                  <c:v>2.00</c:v>
                </c:pt>
                <c:pt idx="4">
                  <c:v>3.00</c:v>
                </c:pt>
                <c:pt idx="5">
                  <c:v>4.00</c:v>
                </c:pt>
                <c:pt idx="6">
                  <c:v>5.00</c:v>
                </c:pt>
                <c:pt idx="7">
                  <c:v>6.00</c:v>
                </c:pt>
                <c:pt idx="8">
                  <c:v>7.00</c:v>
                </c:pt>
                <c:pt idx="9">
                  <c:v>8.00</c:v>
                </c:pt>
                <c:pt idx="10">
                  <c:v>8.15</c:v>
                </c:pt>
                <c:pt idx="11">
                  <c:v>8.30</c:v>
                </c:pt>
                <c:pt idx="12">
                  <c:v>8.45</c:v>
                </c:pt>
                <c:pt idx="13">
                  <c:v>9.00</c:v>
                </c:pt>
                <c:pt idx="14">
                  <c:v>10.00</c:v>
                </c:pt>
                <c:pt idx="15">
                  <c:v>11.00</c:v>
                </c:pt>
                <c:pt idx="16">
                  <c:v>12.00</c:v>
                </c:pt>
                <c:pt idx="17">
                  <c:v>13.00</c:v>
                </c:pt>
                <c:pt idx="18">
                  <c:v>14.00</c:v>
                </c:pt>
                <c:pt idx="19">
                  <c:v>15.00</c:v>
                </c:pt>
                <c:pt idx="20">
                  <c:v>15.15</c:v>
                </c:pt>
                <c:pt idx="21">
                  <c:v>15.30</c:v>
                </c:pt>
                <c:pt idx="22">
                  <c:v>15.45</c:v>
                </c:pt>
                <c:pt idx="23">
                  <c:v>16.00</c:v>
                </c:pt>
                <c:pt idx="24">
                  <c:v>17.00</c:v>
                </c:pt>
                <c:pt idx="25">
                  <c:v>18.00</c:v>
                </c:pt>
                <c:pt idx="26">
                  <c:v>19.00</c:v>
                </c:pt>
                <c:pt idx="27">
                  <c:v>20.00</c:v>
                </c:pt>
                <c:pt idx="28">
                  <c:v>21.00</c:v>
                </c:pt>
                <c:pt idx="29">
                  <c:v>22.00</c:v>
                </c:pt>
                <c:pt idx="30">
                  <c:v>23.00</c:v>
                </c:pt>
              </c:strCache>
            </c:strRef>
          </c:cat>
          <c:val>
            <c:numRef>
              <c:f>'EV Charging Optimizer'!$C$1:$C$31</c:f>
              <c:numCache>
                <c:formatCode>General</c:formatCode>
                <c:ptCount val="31"/>
                <c:pt idx="0">
                  <c:v>0</c:v>
                </c:pt>
                <c:pt idx="1">
                  <c:v>4.6399999999999997</c:v>
                </c:pt>
                <c:pt idx="2">
                  <c:v>4.6399999999999997</c:v>
                </c:pt>
                <c:pt idx="3">
                  <c:v>4.6399999999999997</c:v>
                </c:pt>
                <c:pt idx="4">
                  <c:v>4.6399999999999997</c:v>
                </c:pt>
                <c:pt idx="5">
                  <c:v>4.6399999999999997</c:v>
                </c:pt>
                <c:pt idx="6">
                  <c:v>4.6399999999999997</c:v>
                </c:pt>
                <c:pt idx="7">
                  <c:v>4.6399999999999997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7.6</c:v>
                </c:pt>
                <c:pt idx="13">
                  <c:v>7.6</c:v>
                </c:pt>
                <c:pt idx="14">
                  <c:v>7.6</c:v>
                </c:pt>
                <c:pt idx="15">
                  <c:v>7.6</c:v>
                </c:pt>
                <c:pt idx="16">
                  <c:v>7.6</c:v>
                </c:pt>
                <c:pt idx="17">
                  <c:v>7.6</c:v>
                </c:pt>
                <c:pt idx="18">
                  <c:v>7.6</c:v>
                </c:pt>
                <c:pt idx="19">
                  <c:v>7.6</c:v>
                </c:pt>
                <c:pt idx="20">
                  <c:v>7.6</c:v>
                </c:pt>
                <c:pt idx="21">
                  <c:v>7.6</c:v>
                </c:pt>
                <c:pt idx="22">
                  <c:v>7.6</c:v>
                </c:pt>
                <c:pt idx="23">
                  <c:v>7.6</c:v>
                </c:pt>
                <c:pt idx="24">
                  <c:v>7.6</c:v>
                </c:pt>
                <c:pt idx="25">
                  <c:v>7.6</c:v>
                </c:pt>
                <c:pt idx="26">
                  <c:v>7.6</c:v>
                </c:pt>
                <c:pt idx="27">
                  <c:v>7.6</c:v>
                </c:pt>
                <c:pt idx="28">
                  <c:v>7.6</c:v>
                </c:pt>
                <c:pt idx="29">
                  <c:v>4.6399999999999997</c:v>
                </c:pt>
                <c:pt idx="30">
                  <c:v>4.6399999999999997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62-44E2-BC70-7B9CE51D0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7803248"/>
        <c:axId val="1847813808"/>
      </c:lineChart>
      <c:catAx>
        <c:axId val="1847787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>
                    <a:solidFill>
                      <a:srgbClr val="FFFF00"/>
                    </a:solidFill>
                  </a:rPr>
                  <a:t>Electricity Price (snt/kWh)</a:t>
                </a:r>
              </a:p>
            </c:rich>
          </c:tx>
          <c:layout>
            <c:manualLayout>
              <c:xMode val="edge"/>
              <c:yMode val="edge"/>
              <c:x val="0.65667836099330978"/>
              <c:y val="0.382019314276294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847789808"/>
        <c:crosses val="autoZero"/>
        <c:auto val="1"/>
        <c:lblAlgn val="ctr"/>
        <c:lblOffset val="100"/>
        <c:noMultiLvlLbl val="0"/>
      </c:catAx>
      <c:valAx>
        <c:axId val="184778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>
                    <a:solidFill>
                      <a:srgbClr val="00B0F0"/>
                    </a:solidFill>
                  </a:rPr>
                  <a:t>Solar Power (kW)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847787888"/>
        <c:crosses val="autoZero"/>
        <c:crossBetween val="between"/>
      </c:valAx>
      <c:valAx>
        <c:axId val="184781380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847803248"/>
        <c:crosses val="max"/>
        <c:crossBetween val="between"/>
      </c:valAx>
      <c:catAx>
        <c:axId val="1847803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478138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FI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'EV Charging Optimizer'!$B$1</c:f>
              <c:strCache>
                <c:ptCount val="1"/>
                <c:pt idx="0">
                  <c:v>Solar (kW)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6E34-4640-ABDA-71B7352551D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6E34-4640-ABDA-71B7352551D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6E34-4640-ABDA-71B7352551D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6E34-4640-ABDA-71B7352551D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6E34-4640-ABDA-71B7352551D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6E34-4640-ABDA-71B7352551D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6E34-4640-ABDA-71B7352551D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6E34-4640-ABDA-71B7352551DB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6E34-4640-ABDA-71B7352551DB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6E34-4640-ABDA-71B7352551DB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6E34-4640-ABDA-71B7352551DB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7-6E34-4640-ABDA-71B7352551DB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9-6E34-4640-ABDA-71B7352551DB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B-6E34-4640-ABDA-71B7352551DB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D-6E34-4640-ABDA-71B7352551DB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F-6E34-4640-ABDA-71B7352551DB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1-6E34-4640-ABDA-71B7352551DB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3-6E34-4640-ABDA-71B7352551DB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5-6E34-4640-ABDA-71B7352551DB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7-6E34-4640-ABDA-71B7352551DB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9-6E34-4640-ABDA-71B7352551DB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B-6E34-4640-ABDA-71B7352551DB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D-6E34-4640-ABDA-71B7352551DB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F-6E34-4640-ABDA-71B7352551DB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1-6E34-4640-ABDA-71B7352551DB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3-6E34-4640-ABDA-71B7352551DB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5-6E34-4640-ABDA-71B7352551DB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7-6E34-4640-ABDA-71B7352551DB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9-6E34-4640-ABDA-71B7352551DB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B-6E34-4640-ABDA-71B7352551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FI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'EV Charging Optimizer'!$A$2:$A$31</c:f>
              <c:numCache>
                <c:formatCode>h:mm</c:formatCode>
                <c:ptCount val="30"/>
                <c:pt idx="0" formatCode="[$]h\.mm;@" c16r2:formatcode2="[$-en-FI,1]h\.mm;@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 formatCode="[$]h\.mm;@" c16r2:formatcode2="[$-en-FI,1]h\.mm;@">
                  <c:v>0.34375</c:v>
                </c:pt>
                <c:pt idx="10">
                  <c:v>0.35416666666666669</c:v>
                </c:pt>
                <c:pt idx="11">
                  <c:v>0.36458333333333331</c:v>
                </c:pt>
                <c:pt idx="12">
                  <c:v>0.375</c:v>
                </c:pt>
                <c:pt idx="13">
                  <c:v>0.41666666666666669</c:v>
                </c:pt>
                <c:pt idx="14">
                  <c:v>0.45833333333333331</c:v>
                </c:pt>
                <c:pt idx="15">
                  <c:v>0.5</c:v>
                </c:pt>
                <c:pt idx="16">
                  <c:v>0.54166666666666663</c:v>
                </c:pt>
                <c:pt idx="17">
                  <c:v>0.58333333333333337</c:v>
                </c:pt>
                <c:pt idx="18">
                  <c:v>0.625</c:v>
                </c:pt>
                <c:pt idx="19" formatCode="[$]h\.mm;@" c16r2:formatcode2="[$-en-FI,1]h\.mm;@">
                  <c:v>0.63541666666666663</c:v>
                </c:pt>
                <c:pt idx="20" formatCode="[$]h\.mm;@" c16r2:formatcode2="[$-en-FI,1]h\.mm;@">
                  <c:v>0.64583333333333337</c:v>
                </c:pt>
                <c:pt idx="21">
                  <c:v>0.65625</c:v>
                </c:pt>
                <c:pt idx="22">
                  <c:v>0.66666666666666663</c:v>
                </c:pt>
                <c:pt idx="23">
                  <c:v>0.70833333333333337</c:v>
                </c:pt>
                <c:pt idx="24">
                  <c:v>0.75</c:v>
                </c:pt>
                <c:pt idx="25">
                  <c:v>0.79166666666666663</c:v>
                </c:pt>
                <c:pt idx="26">
                  <c:v>0.83333333333333337</c:v>
                </c:pt>
                <c:pt idx="27">
                  <c:v>0.875</c:v>
                </c:pt>
                <c:pt idx="28">
                  <c:v>0.91666666666666663</c:v>
                </c:pt>
                <c:pt idx="29">
                  <c:v>0.95833333333333337</c:v>
                </c:pt>
              </c:numCache>
            </c:numRef>
          </c:cat>
          <c:val>
            <c:numRef>
              <c:f>'EV Charging Optimizer'!$B$2:$B$31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7.0000000000000007E-2</c:v>
                </c:pt>
                <c:pt idx="7">
                  <c:v>0.3</c:v>
                </c:pt>
                <c:pt idx="8">
                  <c:v>0.6</c:v>
                </c:pt>
                <c:pt idx="9">
                  <c:v>0.7</c:v>
                </c:pt>
                <c:pt idx="10">
                  <c:v>0.84</c:v>
                </c:pt>
                <c:pt idx="11">
                  <c:v>1.9</c:v>
                </c:pt>
                <c:pt idx="12">
                  <c:v>2.48</c:v>
                </c:pt>
                <c:pt idx="13">
                  <c:v>1.18</c:v>
                </c:pt>
                <c:pt idx="14">
                  <c:v>0.69</c:v>
                </c:pt>
                <c:pt idx="15">
                  <c:v>0.84</c:v>
                </c:pt>
                <c:pt idx="16">
                  <c:v>0.84</c:v>
                </c:pt>
                <c:pt idx="17">
                  <c:v>0.84</c:v>
                </c:pt>
                <c:pt idx="18">
                  <c:v>1.1100000000000001</c:v>
                </c:pt>
                <c:pt idx="19">
                  <c:v>1.1100000000000001</c:v>
                </c:pt>
                <c:pt idx="20">
                  <c:v>1.1100000000000001</c:v>
                </c:pt>
                <c:pt idx="21">
                  <c:v>0.81</c:v>
                </c:pt>
                <c:pt idx="22">
                  <c:v>1.08</c:v>
                </c:pt>
                <c:pt idx="23">
                  <c:v>0.35</c:v>
                </c:pt>
                <c:pt idx="24">
                  <c:v>0.06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C7-4404-9756-A766CB84D8A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5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408843</xdr:colOff>
      <xdr:row>0</xdr:row>
      <xdr:rowOff>85724</xdr:rowOff>
    </xdr:from>
    <xdr:to>
      <xdr:col>24</xdr:col>
      <xdr:colOff>114301</xdr:colOff>
      <xdr:row>14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361EBF-75BA-061F-3D5E-9E4EC3ADEF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134815</xdr:colOff>
      <xdr:row>14</xdr:row>
      <xdr:rowOff>129686</xdr:rowOff>
    </xdr:from>
    <xdr:to>
      <xdr:col>23</xdr:col>
      <xdr:colOff>449873</xdr:colOff>
      <xdr:row>29</xdr:row>
      <xdr:rowOff>15386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AB028F-46D6-C147-05E0-83A0D3B359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468922</xdr:colOff>
      <xdr:row>14</xdr:row>
      <xdr:rowOff>69604</xdr:rowOff>
    </xdr:from>
    <xdr:to>
      <xdr:col>32</xdr:col>
      <xdr:colOff>221273</xdr:colOff>
      <xdr:row>31</xdr:row>
      <xdr:rowOff>179508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16043A8-348C-D735-8B4D-F774045013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2117</xdr:colOff>
      <xdr:row>0</xdr:row>
      <xdr:rowOff>0</xdr:rowOff>
    </xdr:from>
    <xdr:to>
      <xdr:col>31</xdr:col>
      <xdr:colOff>278342</xdr:colOff>
      <xdr:row>14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A80E70E-BCA8-069E-5332-FECD60B7E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srael real" id="{09197A2B-08EC-43AE-94F8-0B5FFF596B41}" userId="e899fde29a586aa8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DBF3BE-2CCF-4855-B446-D1816850D684}" name="Table2" displayName="Table2" ref="A1:N31" totalsRowShown="0" headerRowDxfId="13" tableBorderDxfId="12">
  <autoFilter ref="A1:N31" xr:uid="{ECDBF3BE-2CCF-4855-B446-D1816850D684}"/>
  <tableColumns count="14">
    <tableColumn id="1" xr3:uid="{5758166D-9E41-4476-BF8D-08BC7199F2BE}" name="Time" dataDxfId="11"/>
    <tableColumn id="2" xr3:uid="{FE59E2C2-05A4-42FC-BE90-D2ED70E1D397}" name="Solar (kW)" dataDxfId="10"/>
    <tableColumn id="3" xr3:uid="{8CE8D3C1-978E-44A5-AA28-4A13BE587E15}" name="Stock Price (snt/kWh)" dataDxfId="9"/>
    <tableColumn id="10" xr3:uid="{6626183A-CD4E-4F8F-A095-9BBD3E09E25D}" name="Real Price (snt/kWh)" dataDxfId="8">
      <calculatedColumnFormula>C2 + 2.81 + 0.02 + 0.6 + IF(AND(A2&gt;=TIME(7,0,0),A2&lt;TIME(22,0,0)),3.3,1.42)</calculatedColumnFormula>
    </tableColumn>
    <tableColumn id="4" xr3:uid="{BEB892C1-639D-44C7-9B0E-3340351E547E}" name="Car Demand (kW)" dataDxfId="7" dataCellStyle="Comma"/>
    <tableColumn id="5" xr3:uid="{279D434E-35D7-428B-8357-7F9D92AA7656}" name="Grid (kW)" dataDxfId="6">
      <calculatedColumnFormula>MAX(0, E2 - B2)</calculatedColumnFormula>
    </tableColumn>
    <tableColumn id="11" xr3:uid="{13C24FE7-BD90-4B85-ACF8-0482757B73AB}" name="Savings vs Night (€)" dataDxfId="5">
      <calculatedColumnFormula>N2 - H2</calculatedColumnFormula>
    </tableColumn>
    <tableColumn id="6" xr3:uid="{6CB9F8C8-0562-4749-B0D6-7F3438F59CBF}" name="Cost (€)" dataDxfId="4">
      <calculatedColumnFormula>F2 * D2 / 100</calculatedColumnFormula>
    </tableColumn>
    <tableColumn id="7" xr3:uid="{64B08300-4369-47BA-8E7C-8A020C3863FC}" name="Better than Night?" dataDxfId="3">
      <calculatedColumnFormula>IF(G2&gt;0,"YES","NO")</calculatedColumnFormula>
    </tableColumn>
    <tableColumn id="8" xr3:uid="{8FC8747B-F982-4D8F-9624-DE882B71B435}" name="Recommendation" dataDxfId="2">
      <calculatedColumnFormula>IF(F2=0,"BEST",IF(G2&gt;0,"BEST",IF(ABS(G2)&lt;0.01,"GOOD","WAIT")))</calculatedColumnFormula>
    </tableColumn>
    <tableColumn id="9" xr3:uid="{046D544F-360D-489C-8C24-FFE2F2B0DFDF}" name="Fixed fee (c/kWh)" dataDxfId="1">
      <calculatedColumnFormula>10.99+4.96</calculatedColumnFormula>
    </tableColumn>
    <tableColumn id="12" xr3:uid="{B8086D60-CA07-4F0A-8314-44D8B97F6594}" name="Night Spot Price (c/kWh)">
      <calculatedColumnFormula>4.64</calculatedColumnFormula>
    </tableColumn>
    <tableColumn id="13" xr3:uid="{97F0E8E2-6A64-49AB-BD67-2BCF2555915A}" name="Night All-in Price (snt/kWh)">
      <calculatedColumnFormula>L2 + 2.81 + 0.02 + 0.6 + 1.42</calculatedColumnFormula>
    </tableColumn>
    <tableColumn id="14" xr3:uid="{694302AE-3FE4-4CA9-B910-D91FC78EAC2E}" name="Night Cost (€)" dataDxfId="0">
      <calculatedColumnFormula>E2 * M2 / 100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32" dT="2026-05-04T16:06:14.31" personId="{09197A2B-08EC-43AE-94F8-0B5FFF596B41}" id="{768C3784-C8E2-456E-BC6B-220DC71F8FA6}">
    <text>Fixed monthly fees:
Network basic charge: 10,99 €/month
Electricity seller basic fee: 4,96 €/month
Total fixed monthly fees: 15,95 €/month
These are paid monthly regardless of charging time, so they are shown separately and not used in the hourly optimization.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zoomScaleNormal="100" workbookViewId="0">
      <selection activeCell="J2" sqref="J2"/>
    </sheetView>
  </sheetViews>
  <sheetFormatPr defaultRowHeight="15" x14ac:dyDescent="0.25"/>
  <cols>
    <col min="2" max="2" width="13.42578125" style="1" customWidth="1"/>
    <col min="3" max="4" width="24.7109375" customWidth="1"/>
    <col min="5" max="5" width="23.28515625" style="2" customWidth="1"/>
    <col min="6" max="6" width="14.28515625" style="1" customWidth="1"/>
    <col min="7" max="7" width="20.7109375" style="1" customWidth="1"/>
    <col min="8" max="8" width="19.85546875" customWidth="1"/>
    <col min="9" max="9" width="19.5703125" customWidth="1"/>
    <col min="10" max="10" width="19" customWidth="1"/>
    <col min="11" max="11" width="25.42578125" customWidth="1"/>
    <col min="12" max="12" width="25.85546875" customWidth="1"/>
    <col min="13" max="13" width="26.140625" customWidth="1"/>
    <col min="14" max="14" width="18.42578125" customWidth="1"/>
  </cols>
  <sheetData>
    <row r="1" spans="1:14" x14ac:dyDescent="0.25">
      <c r="A1" s="12" t="s">
        <v>0</v>
      </c>
      <c r="B1" s="10" t="s">
        <v>1</v>
      </c>
      <c r="C1" s="9" t="s">
        <v>8</v>
      </c>
      <c r="D1" s="11" t="s">
        <v>7</v>
      </c>
      <c r="E1" s="10" t="s">
        <v>2</v>
      </c>
      <c r="F1" s="10" t="s">
        <v>3</v>
      </c>
      <c r="G1" s="10" t="s">
        <v>9</v>
      </c>
      <c r="H1" s="9" t="s">
        <v>10</v>
      </c>
      <c r="I1" s="9" t="s">
        <v>4</v>
      </c>
      <c r="J1" s="9" t="s">
        <v>5</v>
      </c>
      <c r="K1" s="9" t="s">
        <v>6</v>
      </c>
      <c r="L1" s="9" t="s">
        <v>11</v>
      </c>
      <c r="M1" s="9" t="s">
        <v>13</v>
      </c>
      <c r="N1" s="9" t="s">
        <v>12</v>
      </c>
    </row>
    <row r="2" spans="1:14" x14ac:dyDescent="0.25">
      <c r="A2" s="13">
        <v>0</v>
      </c>
      <c r="B2" s="3">
        <v>0</v>
      </c>
      <c r="C2" s="4">
        <v>4.6399999999999997</v>
      </c>
      <c r="D2" s="4">
        <f>C2 + 2.81 + 0.02 + 0.6 + IF(AND(A2&gt;=TIME(7,0,0),A2&lt;TIME(22,0,0)),3.3,1.42)</f>
        <v>9.4899999999999984</v>
      </c>
      <c r="E2" s="5">
        <v>2.8</v>
      </c>
      <c r="F2" s="3">
        <f t="shared" ref="F2:F31" si="0">MAX(0, E2 - B2)</f>
        <v>2.8</v>
      </c>
      <c r="G2" s="3">
        <f>N2 - H2</f>
        <v>0</v>
      </c>
      <c r="H2" s="4">
        <f>F2 * D2 / 100</f>
        <v>0.26571999999999996</v>
      </c>
      <c r="I2" s="31" t="str">
        <f>IF(G2&gt;0,"YES","NO")</f>
        <v>NO</v>
      </c>
      <c r="J2" s="30" t="str">
        <f>IF(F2=0,"BEST",IF(G2&gt;0,"BEST",IF(ABS(G2)&lt;0.01,"GOOD","WAIT")))</f>
        <v>GOOD</v>
      </c>
      <c r="K2">
        <f>10.99+4.96</f>
        <v>15.95</v>
      </c>
      <c r="L2">
        <f>4.64</f>
        <v>4.6399999999999997</v>
      </c>
      <c r="M2">
        <f>L2 + 2.81 + 0.02 + 0.6 + 1.42</f>
        <v>9.4899999999999984</v>
      </c>
      <c r="N2" s="4">
        <f>E2 * M2 / 100</f>
        <v>0.26571999999999996</v>
      </c>
    </row>
    <row r="3" spans="1:14" x14ac:dyDescent="0.25">
      <c r="A3" s="14">
        <v>4.1666666666666664E-2</v>
      </c>
      <c r="B3" s="6">
        <v>0</v>
      </c>
      <c r="C3" s="4">
        <v>4.6399999999999997</v>
      </c>
      <c r="D3" s="4">
        <f t="shared" ref="D3:D31" si="1">C3 + 2.81 + 0.02 + 0.6 + IF(AND(A3&gt;=TIME(7,0,0),A3&lt;TIME(22,0,0)),3.3,1.42)</f>
        <v>9.4899999999999984</v>
      </c>
      <c r="E3" s="8">
        <v>2.8</v>
      </c>
      <c r="F3" s="6">
        <f t="shared" si="0"/>
        <v>2.8</v>
      </c>
      <c r="G3" s="3">
        <f t="shared" ref="G3:G31" si="2">N3 - H3</f>
        <v>0</v>
      </c>
      <c r="H3" s="7">
        <f t="shared" ref="H3:H31" si="3">F3 * D3 / 100</f>
        <v>0.26571999999999996</v>
      </c>
      <c r="I3" s="31" t="str">
        <f t="shared" ref="I3:I31" si="4">IF(G3&gt;0,"YES","NO")</f>
        <v>NO</v>
      </c>
      <c r="J3" s="30" t="str">
        <f t="shared" ref="J3:J31" si="5">IF(F3=0,"BEST",IF(G3&gt;0,"BEST",IF(ABS(G3)&lt;0.01,"GOOD","WAIT")))</f>
        <v>GOOD</v>
      </c>
      <c r="K3">
        <f t="shared" ref="K3:K31" si="6">10.99+4.96</f>
        <v>15.95</v>
      </c>
      <c r="L3">
        <f t="shared" ref="L3:L31" si="7">4.64</f>
        <v>4.6399999999999997</v>
      </c>
      <c r="M3">
        <f t="shared" ref="M3:M31" si="8">L3 + 2.81 + 0.02 + 0.6 + 1.42</f>
        <v>9.4899999999999984</v>
      </c>
      <c r="N3" s="4">
        <f t="shared" ref="N3:N31" si="9">E3 * M3 / 100</f>
        <v>0.26571999999999996</v>
      </c>
    </row>
    <row r="4" spans="1:14" x14ac:dyDescent="0.25">
      <c r="A4" s="15">
        <v>8.3333333333333329E-2</v>
      </c>
      <c r="B4" s="3">
        <v>0</v>
      </c>
      <c r="C4" s="4">
        <v>4.6399999999999997</v>
      </c>
      <c r="D4" s="4">
        <f t="shared" si="1"/>
        <v>9.4899999999999984</v>
      </c>
      <c r="E4" s="5">
        <v>2.8</v>
      </c>
      <c r="F4" s="3">
        <f t="shared" si="0"/>
        <v>2.8</v>
      </c>
      <c r="G4" s="3">
        <f t="shared" si="2"/>
        <v>0</v>
      </c>
      <c r="H4" s="4">
        <f t="shared" si="3"/>
        <v>0.26571999999999996</v>
      </c>
      <c r="I4" s="31" t="str">
        <f t="shared" si="4"/>
        <v>NO</v>
      </c>
      <c r="J4" s="30" t="str">
        <f t="shared" si="5"/>
        <v>GOOD</v>
      </c>
      <c r="K4">
        <f t="shared" si="6"/>
        <v>15.95</v>
      </c>
      <c r="L4">
        <f t="shared" si="7"/>
        <v>4.6399999999999997</v>
      </c>
      <c r="M4">
        <f t="shared" si="8"/>
        <v>9.4899999999999984</v>
      </c>
      <c r="N4" s="4">
        <f t="shared" si="9"/>
        <v>0.26571999999999996</v>
      </c>
    </row>
    <row r="5" spans="1:14" x14ac:dyDescent="0.25">
      <c r="A5" s="14">
        <v>0.125</v>
      </c>
      <c r="B5" s="6">
        <v>0</v>
      </c>
      <c r="C5" s="7">
        <v>4.6399999999999997</v>
      </c>
      <c r="D5" s="4">
        <f t="shared" si="1"/>
        <v>9.4899999999999984</v>
      </c>
      <c r="E5" s="8">
        <v>2.8</v>
      </c>
      <c r="F5" s="6">
        <f t="shared" si="0"/>
        <v>2.8</v>
      </c>
      <c r="G5" s="3">
        <f t="shared" si="2"/>
        <v>0</v>
      </c>
      <c r="H5" s="7">
        <f t="shared" si="3"/>
        <v>0.26571999999999996</v>
      </c>
      <c r="I5" s="31" t="str">
        <f t="shared" si="4"/>
        <v>NO</v>
      </c>
      <c r="J5" s="30" t="str">
        <f t="shared" si="5"/>
        <v>GOOD</v>
      </c>
      <c r="K5">
        <f t="shared" si="6"/>
        <v>15.95</v>
      </c>
      <c r="L5">
        <f t="shared" si="7"/>
        <v>4.6399999999999997</v>
      </c>
      <c r="M5">
        <f t="shared" si="8"/>
        <v>9.4899999999999984</v>
      </c>
      <c r="N5" s="4">
        <f t="shared" si="9"/>
        <v>0.26571999999999996</v>
      </c>
    </row>
    <row r="6" spans="1:14" x14ac:dyDescent="0.25">
      <c r="A6" s="15">
        <v>0.16666666666666666</v>
      </c>
      <c r="B6" s="3">
        <v>0</v>
      </c>
      <c r="C6" s="4">
        <v>4.6399999999999997</v>
      </c>
      <c r="D6" s="4">
        <f t="shared" si="1"/>
        <v>9.4899999999999984</v>
      </c>
      <c r="E6" s="5">
        <v>2.8</v>
      </c>
      <c r="F6" s="3">
        <f t="shared" si="0"/>
        <v>2.8</v>
      </c>
      <c r="G6" s="3">
        <f t="shared" si="2"/>
        <v>0</v>
      </c>
      <c r="H6" s="4">
        <f t="shared" si="3"/>
        <v>0.26571999999999996</v>
      </c>
      <c r="I6" s="31" t="str">
        <f t="shared" si="4"/>
        <v>NO</v>
      </c>
      <c r="J6" s="30" t="str">
        <f t="shared" si="5"/>
        <v>GOOD</v>
      </c>
      <c r="K6">
        <f t="shared" si="6"/>
        <v>15.95</v>
      </c>
      <c r="L6">
        <f t="shared" si="7"/>
        <v>4.6399999999999997</v>
      </c>
      <c r="M6">
        <f t="shared" si="8"/>
        <v>9.4899999999999984</v>
      </c>
      <c r="N6" s="4">
        <f t="shared" si="9"/>
        <v>0.26571999999999996</v>
      </c>
    </row>
    <row r="7" spans="1:14" x14ac:dyDescent="0.25">
      <c r="A7" s="14">
        <v>0.20833333333333334</v>
      </c>
      <c r="B7" s="6">
        <v>0</v>
      </c>
      <c r="C7" s="7">
        <v>4.6399999999999997</v>
      </c>
      <c r="D7" s="4">
        <f t="shared" si="1"/>
        <v>9.4899999999999984</v>
      </c>
      <c r="E7" s="8">
        <v>2.8</v>
      </c>
      <c r="F7" s="6">
        <f t="shared" si="0"/>
        <v>2.8</v>
      </c>
      <c r="G7" s="3">
        <f t="shared" si="2"/>
        <v>0</v>
      </c>
      <c r="H7" s="7">
        <f t="shared" si="3"/>
        <v>0.26571999999999996</v>
      </c>
      <c r="I7" s="31" t="str">
        <f t="shared" si="4"/>
        <v>NO</v>
      </c>
      <c r="J7" s="30" t="str">
        <f t="shared" si="5"/>
        <v>GOOD</v>
      </c>
      <c r="K7">
        <f t="shared" si="6"/>
        <v>15.95</v>
      </c>
      <c r="L7">
        <f t="shared" si="7"/>
        <v>4.6399999999999997</v>
      </c>
      <c r="M7">
        <f t="shared" si="8"/>
        <v>9.4899999999999984</v>
      </c>
      <c r="N7" s="4">
        <f t="shared" si="9"/>
        <v>0.26571999999999996</v>
      </c>
    </row>
    <row r="8" spans="1:14" x14ac:dyDescent="0.25">
      <c r="A8" s="15">
        <v>0.25</v>
      </c>
      <c r="B8" s="3">
        <v>7.0000000000000007E-2</v>
      </c>
      <c r="C8" s="4">
        <v>4.6399999999999997</v>
      </c>
      <c r="D8" s="4">
        <f t="shared" si="1"/>
        <v>9.4899999999999984</v>
      </c>
      <c r="E8" s="5">
        <v>2.8</v>
      </c>
      <c r="F8" s="3">
        <f t="shared" si="0"/>
        <v>2.73</v>
      </c>
      <c r="G8" s="3">
        <f t="shared" si="2"/>
        <v>6.64300000000001E-3</v>
      </c>
      <c r="H8" s="4">
        <f t="shared" si="3"/>
        <v>0.25907699999999995</v>
      </c>
      <c r="I8" s="31" t="str">
        <f t="shared" si="4"/>
        <v>YES</v>
      </c>
      <c r="J8" s="30" t="str">
        <f t="shared" si="5"/>
        <v>BEST</v>
      </c>
      <c r="K8">
        <f t="shared" si="6"/>
        <v>15.95</v>
      </c>
      <c r="L8">
        <f t="shared" si="7"/>
        <v>4.6399999999999997</v>
      </c>
      <c r="M8">
        <f t="shared" si="8"/>
        <v>9.4899999999999984</v>
      </c>
      <c r="N8" s="4">
        <f t="shared" si="9"/>
        <v>0.26571999999999996</v>
      </c>
    </row>
    <row r="9" spans="1:14" x14ac:dyDescent="0.25">
      <c r="A9" s="14">
        <v>0.29166666666666669</v>
      </c>
      <c r="B9" s="6">
        <v>0.3</v>
      </c>
      <c r="C9" s="7">
        <v>7.6</v>
      </c>
      <c r="D9" s="4">
        <f t="shared" si="1"/>
        <v>14.329999999999998</v>
      </c>
      <c r="E9" s="8">
        <v>2.8</v>
      </c>
      <c r="F9" s="6">
        <f t="shared" si="0"/>
        <v>2.5</v>
      </c>
      <c r="G9" s="3">
        <f t="shared" si="2"/>
        <v>-9.2530000000000001E-2</v>
      </c>
      <c r="H9" s="7">
        <f t="shared" si="3"/>
        <v>0.35824999999999996</v>
      </c>
      <c r="I9" s="31" t="str">
        <f t="shared" si="4"/>
        <v>NO</v>
      </c>
      <c r="J9" s="30" t="str">
        <f t="shared" si="5"/>
        <v>WAIT</v>
      </c>
      <c r="K9">
        <f t="shared" si="6"/>
        <v>15.95</v>
      </c>
      <c r="L9">
        <f t="shared" si="7"/>
        <v>4.6399999999999997</v>
      </c>
      <c r="M9">
        <f t="shared" si="8"/>
        <v>9.4899999999999984</v>
      </c>
      <c r="N9" s="4">
        <f t="shared" si="9"/>
        <v>0.26571999999999996</v>
      </c>
    </row>
    <row r="10" spans="1:14" x14ac:dyDescent="0.25">
      <c r="A10" s="15">
        <v>0.33333333333333331</v>
      </c>
      <c r="B10" s="3">
        <v>0.6</v>
      </c>
      <c r="C10" s="4">
        <v>7.6</v>
      </c>
      <c r="D10" s="4">
        <f t="shared" si="1"/>
        <v>14.329999999999998</v>
      </c>
      <c r="E10" s="5">
        <v>2.8</v>
      </c>
      <c r="F10" s="3">
        <f t="shared" si="0"/>
        <v>2.1999999999999997</v>
      </c>
      <c r="G10" s="3">
        <f t="shared" si="2"/>
        <v>-4.9539999999999973E-2</v>
      </c>
      <c r="H10" s="4">
        <f t="shared" si="3"/>
        <v>0.31525999999999993</v>
      </c>
      <c r="I10" s="31" t="str">
        <f t="shared" si="4"/>
        <v>NO</v>
      </c>
      <c r="J10" s="30" t="str">
        <f t="shared" si="5"/>
        <v>WAIT</v>
      </c>
      <c r="K10">
        <f t="shared" si="6"/>
        <v>15.95</v>
      </c>
      <c r="L10">
        <f t="shared" si="7"/>
        <v>4.6399999999999997</v>
      </c>
      <c r="M10">
        <f t="shared" si="8"/>
        <v>9.4899999999999984</v>
      </c>
      <c r="N10" s="4">
        <f t="shared" si="9"/>
        <v>0.26571999999999996</v>
      </c>
    </row>
    <row r="11" spans="1:14" x14ac:dyDescent="0.25">
      <c r="A11" s="16">
        <v>0.34375</v>
      </c>
      <c r="B11" s="6">
        <v>0.7</v>
      </c>
      <c r="C11" s="7">
        <v>7.6</v>
      </c>
      <c r="D11" s="4">
        <f t="shared" si="1"/>
        <v>14.329999999999998</v>
      </c>
      <c r="E11" s="8">
        <v>2.8</v>
      </c>
      <c r="F11" s="6">
        <f t="shared" si="0"/>
        <v>2.0999999999999996</v>
      </c>
      <c r="G11" s="3">
        <f t="shared" si="2"/>
        <v>-3.5209999999999964E-2</v>
      </c>
      <c r="H11" s="7">
        <f t="shared" si="3"/>
        <v>0.30092999999999992</v>
      </c>
      <c r="I11" s="31" t="str">
        <f t="shared" si="4"/>
        <v>NO</v>
      </c>
      <c r="J11" s="30" t="str">
        <f t="shared" si="5"/>
        <v>WAIT</v>
      </c>
      <c r="K11">
        <f t="shared" si="6"/>
        <v>15.95</v>
      </c>
      <c r="L11">
        <f t="shared" si="7"/>
        <v>4.6399999999999997</v>
      </c>
      <c r="M11">
        <f t="shared" si="8"/>
        <v>9.4899999999999984</v>
      </c>
      <c r="N11" s="4">
        <f t="shared" si="9"/>
        <v>0.26571999999999996</v>
      </c>
    </row>
    <row r="12" spans="1:14" x14ac:dyDescent="0.25">
      <c r="A12" s="17">
        <v>0.35416666666666669</v>
      </c>
      <c r="B12" s="3">
        <v>0.84</v>
      </c>
      <c r="C12" s="4">
        <v>7.6</v>
      </c>
      <c r="D12" s="4">
        <f t="shared" si="1"/>
        <v>14.329999999999998</v>
      </c>
      <c r="E12" s="5">
        <v>2.8</v>
      </c>
      <c r="F12" s="3">
        <f t="shared" si="0"/>
        <v>1.96</v>
      </c>
      <c r="G12" s="3">
        <f t="shared" si="2"/>
        <v>-1.5147999999999995E-2</v>
      </c>
      <c r="H12" s="4">
        <f t="shared" si="3"/>
        <v>0.28086799999999995</v>
      </c>
      <c r="I12" s="31" t="str">
        <f t="shared" si="4"/>
        <v>NO</v>
      </c>
      <c r="J12" s="30" t="str">
        <f t="shared" si="5"/>
        <v>WAIT</v>
      </c>
      <c r="K12">
        <f t="shared" si="6"/>
        <v>15.95</v>
      </c>
      <c r="L12">
        <f t="shared" si="7"/>
        <v>4.6399999999999997</v>
      </c>
      <c r="M12">
        <f t="shared" si="8"/>
        <v>9.4899999999999984</v>
      </c>
      <c r="N12" s="4">
        <f t="shared" si="9"/>
        <v>0.26571999999999996</v>
      </c>
    </row>
    <row r="13" spans="1:14" x14ac:dyDescent="0.25">
      <c r="A13" s="18">
        <v>0.36458333333333331</v>
      </c>
      <c r="B13" s="6">
        <v>1.9</v>
      </c>
      <c r="C13" s="7">
        <v>7.6</v>
      </c>
      <c r="D13" s="4">
        <f t="shared" si="1"/>
        <v>14.329999999999998</v>
      </c>
      <c r="E13" s="8">
        <v>2.8</v>
      </c>
      <c r="F13" s="6">
        <f t="shared" si="0"/>
        <v>0.89999999999999991</v>
      </c>
      <c r="G13" s="3">
        <f t="shared" si="2"/>
        <v>0.13674999999999998</v>
      </c>
      <c r="H13" s="7">
        <f t="shared" si="3"/>
        <v>0.12896999999999997</v>
      </c>
      <c r="I13" s="31" t="str">
        <f t="shared" si="4"/>
        <v>YES</v>
      </c>
      <c r="J13" s="30" t="str">
        <f t="shared" si="5"/>
        <v>BEST</v>
      </c>
      <c r="K13">
        <f t="shared" si="6"/>
        <v>15.95</v>
      </c>
      <c r="L13">
        <f t="shared" si="7"/>
        <v>4.6399999999999997</v>
      </c>
      <c r="M13">
        <f t="shared" si="8"/>
        <v>9.4899999999999984</v>
      </c>
      <c r="N13" s="4">
        <f t="shared" si="9"/>
        <v>0.26571999999999996</v>
      </c>
    </row>
    <row r="14" spans="1:14" x14ac:dyDescent="0.25">
      <c r="A14" s="19">
        <v>0.375</v>
      </c>
      <c r="B14" s="20">
        <v>2.48</v>
      </c>
      <c r="C14" s="21">
        <v>7.6</v>
      </c>
      <c r="D14" s="4">
        <f t="shared" si="1"/>
        <v>14.329999999999998</v>
      </c>
      <c r="E14" s="22">
        <v>2.8</v>
      </c>
      <c r="F14" s="20">
        <f t="shared" si="0"/>
        <v>0.31999999999999984</v>
      </c>
      <c r="G14" s="3">
        <f t="shared" si="2"/>
        <v>0.219864</v>
      </c>
      <c r="H14" s="21">
        <f t="shared" si="3"/>
        <v>4.5855999999999966E-2</v>
      </c>
      <c r="I14" s="31" t="str">
        <f t="shared" si="4"/>
        <v>YES</v>
      </c>
      <c r="J14" s="30" t="str">
        <f t="shared" si="5"/>
        <v>BEST</v>
      </c>
      <c r="K14">
        <f t="shared" si="6"/>
        <v>15.95</v>
      </c>
      <c r="L14">
        <f t="shared" si="7"/>
        <v>4.6399999999999997</v>
      </c>
      <c r="M14">
        <f t="shared" si="8"/>
        <v>9.4899999999999984</v>
      </c>
      <c r="N14" s="4">
        <f t="shared" si="9"/>
        <v>0.26571999999999996</v>
      </c>
    </row>
    <row r="15" spans="1:14" x14ac:dyDescent="0.25">
      <c r="A15" s="23">
        <v>0.41666666666666669</v>
      </c>
      <c r="B15" s="24">
        <v>1.18</v>
      </c>
      <c r="C15" s="21">
        <v>7.6</v>
      </c>
      <c r="D15" s="4">
        <f t="shared" si="1"/>
        <v>14.329999999999998</v>
      </c>
      <c r="E15" s="26">
        <v>2.8</v>
      </c>
      <c r="F15" s="24">
        <f t="shared" si="0"/>
        <v>1.6199999999999999</v>
      </c>
      <c r="G15" s="3">
        <f t="shared" si="2"/>
        <v>3.3573999999999993E-2</v>
      </c>
      <c r="H15" s="25">
        <f t="shared" si="3"/>
        <v>0.23214599999999996</v>
      </c>
      <c r="I15" s="31" t="str">
        <f t="shared" si="4"/>
        <v>YES</v>
      </c>
      <c r="J15" s="30" t="str">
        <f t="shared" si="5"/>
        <v>BEST</v>
      </c>
      <c r="K15">
        <f t="shared" si="6"/>
        <v>15.95</v>
      </c>
      <c r="L15">
        <f t="shared" si="7"/>
        <v>4.6399999999999997</v>
      </c>
      <c r="M15">
        <f t="shared" si="8"/>
        <v>9.4899999999999984</v>
      </c>
      <c r="N15" s="4">
        <f t="shared" si="9"/>
        <v>0.26571999999999996</v>
      </c>
    </row>
    <row r="16" spans="1:14" x14ac:dyDescent="0.25">
      <c r="A16" s="19">
        <v>0.45833333333333331</v>
      </c>
      <c r="B16" s="20">
        <v>0.69</v>
      </c>
      <c r="C16" s="21">
        <v>7.6</v>
      </c>
      <c r="D16" s="4">
        <f t="shared" si="1"/>
        <v>14.329999999999998</v>
      </c>
      <c r="E16" s="22">
        <v>2.8</v>
      </c>
      <c r="F16" s="20">
        <f t="shared" si="0"/>
        <v>2.11</v>
      </c>
      <c r="G16" s="3">
        <f t="shared" si="2"/>
        <v>-3.6642999999999981E-2</v>
      </c>
      <c r="H16" s="21">
        <f t="shared" si="3"/>
        <v>0.30236299999999994</v>
      </c>
      <c r="I16" s="31" t="str">
        <f t="shared" si="4"/>
        <v>NO</v>
      </c>
      <c r="J16" s="30" t="str">
        <f t="shared" si="5"/>
        <v>WAIT</v>
      </c>
      <c r="K16">
        <f t="shared" si="6"/>
        <v>15.95</v>
      </c>
      <c r="L16">
        <f t="shared" si="7"/>
        <v>4.6399999999999997</v>
      </c>
      <c r="M16">
        <f t="shared" si="8"/>
        <v>9.4899999999999984</v>
      </c>
      <c r="N16" s="4">
        <f t="shared" si="9"/>
        <v>0.26571999999999996</v>
      </c>
    </row>
    <row r="17" spans="1:14" x14ac:dyDescent="0.25">
      <c r="A17" s="23">
        <v>0.5</v>
      </c>
      <c r="B17" s="24">
        <v>0.84</v>
      </c>
      <c r="C17" s="21">
        <v>7.6</v>
      </c>
      <c r="D17" s="4">
        <f t="shared" si="1"/>
        <v>14.329999999999998</v>
      </c>
      <c r="E17" s="26">
        <v>2.8</v>
      </c>
      <c r="F17" s="24">
        <f t="shared" si="0"/>
        <v>1.96</v>
      </c>
      <c r="G17" s="3">
        <f t="shared" si="2"/>
        <v>-1.5147999999999995E-2</v>
      </c>
      <c r="H17" s="25">
        <f t="shared" si="3"/>
        <v>0.28086799999999995</v>
      </c>
      <c r="I17" s="31" t="str">
        <f t="shared" si="4"/>
        <v>NO</v>
      </c>
      <c r="J17" s="30" t="str">
        <f t="shared" si="5"/>
        <v>WAIT</v>
      </c>
      <c r="K17">
        <f t="shared" si="6"/>
        <v>15.95</v>
      </c>
      <c r="L17">
        <f t="shared" si="7"/>
        <v>4.6399999999999997</v>
      </c>
      <c r="M17">
        <f t="shared" si="8"/>
        <v>9.4899999999999984</v>
      </c>
      <c r="N17" s="4">
        <f t="shared" si="9"/>
        <v>0.26571999999999996</v>
      </c>
    </row>
    <row r="18" spans="1:14" x14ac:dyDescent="0.25">
      <c r="A18" s="19">
        <v>0.54166666666666663</v>
      </c>
      <c r="B18" s="20">
        <v>0.84</v>
      </c>
      <c r="C18" s="21">
        <v>7.6</v>
      </c>
      <c r="D18" s="4">
        <f t="shared" si="1"/>
        <v>14.329999999999998</v>
      </c>
      <c r="E18" s="22">
        <v>2.8</v>
      </c>
      <c r="F18" s="20">
        <f t="shared" si="0"/>
        <v>1.96</v>
      </c>
      <c r="G18" s="3">
        <f t="shared" si="2"/>
        <v>-1.5147999999999995E-2</v>
      </c>
      <c r="H18" s="21">
        <f t="shared" si="3"/>
        <v>0.28086799999999995</v>
      </c>
      <c r="I18" s="31" t="str">
        <f t="shared" si="4"/>
        <v>NO</v>
      </c>
      <c r="J18" s="30" t="str">
        <f t="shared" si="5"/>
        <v>WAIT</v>
      </c>
      <c r="K18">
        <f t="shared" si="6"/>
        <v>15.95</v>
      </c>
      <c r="L18">
        <f t="shared" si="7"/>
        <v>4.6399999999999997</v>
      </c>
      <c r="M18">
        <f t="shared" si="8"/>
        <v>9.4899999999999984</v>
      </c>
      <c r="N18" s="4">
        <f t="shared" si="9"/>
        <v>0.26571999999999996</v>
      </c>
    </row>
    <row r="19" spans="1:14" x14ac:dyDescent="0.25">
      <c r="A19" s="23">
        <v>0.58333333333333337</v>
      </c>
      <c r="B19" s="24">
        <v>0.84</v>
      </c>
      <c r="C19" s="21">
        <v>7.6</v>
      </c>
      <c r="D19" s="4">
        <f t="shared" si="1"/>
        <v>14.329999999999998</v>
      </c>
      <c r="E19" s="26">
        <v>2.8</v>
      </c>
      <c r="F19" s="24">
        <f t="shared" si="0"/>
        <v>1.96</v>
      </c>
      <c r="G19" s="3">
        <f t="shared" si="2"/>
        <v>-1.5147999999999995E-2</v>
      </c>
      <c r="H19" s="25">
        <f t="shared" si="3"/>
        <v>0.28086799999999995</v>
      </c>
      <c r="I19" s="31" t="str">
        <f t="shared" si="4"/>
        <v>NO</v>
      </c>
      <c r="J19" s="30" t="str">
        <f t="shared" si="5"/>
        <v>WAIT</v>
      </c>
      <c r="K19">
        <f t="shared" si="6"/>
        <v>15.95</v>
      </c>
      <c r="L19">
        <f t="shared" si="7"/>
        <v>4.6399999999999997</v>
      </c>
      <c r="M19">
        <f t="shared" si="8"/>
        <v>9.4899999999999984</v>
      </c>
      <c r="N19" s="4">
        <f t="shared" si="9"/>
        <v>0.26571999999999996</v>
      </c>
    </row>
    <row r="20" spans="1:14" x14ac:dyDescent="0.25">
      <c r="A20" s="19">
        <v>0.625</v>
      </c>
      <c r="B20" s="20">
        <v>1.1100000000000001</v>
      </c>
      <c r="C20" s="21">
        <v>7.6</v>
      </c>
      <c r="D20" s="4">
        <f t="shared" si="1"/>
        <v>14.329999999999998</v>
      </c>
      <c r="E20" s="22">
        <v>2.8</v>
      </c>
      <c r="F20" s="20">
        <f t="shared" si="0"/>
        <v>1.6899999999999997</v>
      </c>
      <c r="G20" s="3">
        <f t="shared" si="2"/>
        <v>2.3543000000000008E-2</v>
      </c>
      <c r="H20" s="21">
        <f t="shared" si="3"/>
        <v>0.24217699999999995</v>
      </c>
      <c r="I20" s="31" t="str">
        <f t="shared" si="4"/>
        <v>YES</v>
      </c>
      <c r="J20" s="30" t="str">
        <f t="shared" si="5"/>
        <v>BEST</v>
      </c>
      <c r="K20">
        <f t="shared" si="6"/>
        <v>15.95</v>
      </c>
      <c r="L20">
        <f t="shared" si="7"/>
        <v>4.6399999999999997</v>
      </c>
      <c r="M20">
        <f t="shared" si="8"/>
        <v>9.4899999999999984</v>
      </c>
      <c r="N20" s="4">
        <f t="shared" si="9"/>
        <v>0.26571999999999996</v>
      </c>
    </row>
    <row r="21" spans="1:14" x14ac:dyDescent="0.25">
      <c r="A21" s="27">
        <v>0.63541666666666663</v>
      </c>
      <c r="B21" s="24">
        <v>1.1100000000000001</v>
      </c>
      <c r="C21" s="21">
        <v>7.6</v>
      </c>
      <c r="D21" s="4">
        <f t="shared" si="1"/>
        <v>14.329999999999998</v>
      </c>
      <c r="E21" s="26">
        <v>2.8</v>
      </c>
      <c r="F21" s="24">
        <f t="shared" si="0"/>
        <v>1.6899999999999997</v>
      </c>
      <c r="G21" s="3">
        <f t="shared" si="2"/>
        <v>2.3543000000000008E-2</v>
      </c>
      <c r="H21" s="25">
        <f t="shared" si="3"/>
        <v>0.24217699999999995</v>
      </c>
      <c r="I21" s="31" t="str">
        <f t="shared" si="4"/>
        <v>YES</v>
      </c>
      <c r="J21" s="30" t="str">
        <f t="shared" si="5"/>
        <v>BEST</v>
      </c>
      <c r="K21">
        <f t="shared" si="6"/>
        <v>15.95</v>
      </c>
      <c r="L21">
        <f t="shared" si="7"/>
        <v>4.6399999999999997</v>
      </c>
      <c r="M21">
        <f t="shared" si="8"/>
        <v>9.4899999999999984</v>
      </c>
      <c r="N21" s="4">
        <f t="shared" si="9"/>
        <v>0.26571999999999996</v>
      </c>
    </row>
    <row r="22" spans="1:14" x14ac:dyDescent="0.25">
      <c r="A22" s="28">
        <v>0.64583333333333337</v>
      </c>
      <c r="B22" s="20">
        <v>1.1100000000000001</v>
      </c>
      <c r="C22" s="21">
        <v>7.6</v>
      </c>
      <c r="D22" s="4">
        <f t="shared" si="1"/>
        <v>14.329999999999998</v>
      </c>
      <c r="E22" s="22">
        <v>2.8</v>
      </c>
      <c r="F22" s="20">
        <f t="shared" si="0"/>
        <v>1.6899999999999997</v>
      </c>
      <c r="G22" s="3">
        <f t="shared" si="2"/>
        <v>2.3543000000000008E-2</v>
      </c>
      <c r="H22" s="21">
        <f t="shared" si="3"/>
        <v>0.24217699999999995</v>
      </c>
      <c r="I22" s="31" t="str">
        <f t="shared" si="4"/>
        <v>YES</v>
      </c>
      <c r="J22" s="30" t="str">
        <f t="shared" si="5"/>
        <v>BEST</v>
      </c>
      <c r="K22">
        <f t="shared" si="6"/>
        <v>15.95</v>
      </c>
      <c r="L22">
        <f t="shared" si="7"/>
        <v>4.6399999999999997</v>
      </c>
      <c r="M22">
        <f t="shared" si="8"/>
        <v>9.4899999999999984</v>
      </c>
      <c r="N22" s="4">
        <f t="shared" si="9"/>
        <v>0.26571999999999996</v>
      </c>
    </row>
    <row r="23" spans="1:14" x14ac:dyDescent="0.25">
      <c r="A23" s="29">
        <v>0.65625</v>
      </c>
      <c r="B23" s="24">
        <v>0.81</v>
      </c>
      <c r="C23" s="21">
        <v>7.6</v>
      </c>
      <c r="D23" s="4">
        <f t="shared" si="1"/>
        <v>14.329999999999998</v>
      </c>
      <c r="E23" s="26">
        <v>2.8</v>
      </c>
      <c r="F23" s="24">
        <f t="shared" si="0"/>
        <v>1.9899999999999998</v>
      </c>
      <c r="G23" s="3">
        <f t="shared" si="2"/>
        <v>-1.9446999999999992E-2</v>
      </c>
      <c r="H23" s="25">
        <f t="shared" si="3"/>
        <v>0.28516699999999995</v>
      </c>
      <c r="I23" s="31" t="str">
        <f t="shared" si="4"/>
        <v>NO</v>
      </c>
      <c r="J23" s="30" t="str">
        <f t="shared" si="5"/>
        <v>WAIT</v>
      </c>
      <c r="K23">
        <f t="shared" si="6"/>
        <v>15.95</v>
      </c>
      <c r="L23">
        <f t="shared" si="7"/>
        <v>4.6399999999999997</v>
      </c>
      <c r="M23">
        <f t="shared" si="8"/>
        <v>9.4899999999999984</v>
      </c>
      <c r="N23" s="4">
        <f t="shared" si="9"/>
        <v>0.26571999999999996</v>
      </c>
    </row>
    <row r="24" spans="1:14" x14ac:dyDescent="0.25">
      <c r="A24" s="15">
        <v>0.66666666666666663</v>
      </c>
      <c r="B24" s="3">
        <v>1.08</v>
      </c>
      <c r="C24" s="21">
        <v>7.6</v>
      </c>
      <c r="D24" s="4">
        <f t="shared" si="1"/>
        <v>14.329999999999998</v>
      </c>
      <c r="E24" s="5">
        <v>2.8</v>
      </c>
      <c r="F24" s="3">
        <f t="shared" si="0"/>
        <v>1.7199999999999998</v>
      </c>
      <c r="G24" s="3">
        <f t="shared" si="2"/>
        <v>1.9244000000000011E-2</v>
      </c>
      <c r="H24" s="4">
        <f t="shared" si="3"/>
        <v>0.24647599999999995</v>
      </c>
      <c r="I24" s="31" t="str">
        <f t="shared" si="4"/>
        <v>YES</v>
      </c>
      <c r="J24" s="30" t="str">
        <f t="shared" si="5"/>
        <v>BEST</v>
      </c>
      <c r="K24">
        <f t="shared" si="6"/>
        <v>15.95</v>
      </c>
      <c r="L24">
        <f t="shared" si="7"/>
        <v>4.6399999999999997</v>
      </c>
      <c r="M24">
        <f t="shared" si="8"/>
        <v>9.4899999999999984</v>
      </c>
      <c r="N24" s="4">
        <f t="shared" si="9"/>
        <v>0.26571999999999996</v>
      </c>
    </row>
    <row r="25" spans="1:14" x14ac:dyDescent="0.25">
      <c r="A25" s="14">
        <v>0.70833333333333337</v>
      </c>
      <c r="B25" s="6">
        <v>0.35</v>
      </c>
      <c r="C25" s="21">
        <v>7.6</v>
      </c>
      <c r="D25" s="4">
        <f t="shared" si="1"/>
        <v>14.329999999999998</v>
      </c>
      <c r="E25" s="8">
        <v>2.8</v>
      </c>
      <c r="F25" s="6">
        <f t="shared" si="0"/>
        <v>2.4499999999999997</v>
      </c>
      <c r="G25" s="3">
        <f t="shared" si="2"/>
        <v>-8.5364999999999969E-2</v>
      </c>
      <c r="H25" s="7">
        <f t="shared" si="3"/>
        <v>0.35108499999999992</v>
      </c>
      <c r="I25" s="31" t="str">
        <f t="shared" si="4"/>
        <v>NO</v>
      </c>
      <c r="J25" s="30" t="str">
        <f t="shared" si="5"/>
        <v>WAIT</v>
      </c>
      <c r="K25">
        <f t="shared" si="6"/>
        <v>15.95</v>
      </c>
      <c r="L25">
        <f t="shared" si="7"/>
        <v>4.6399999999999997</v>
      </c>
      <c r="M25">
        <f t="shared" si="8"/>
        <v>9.4899999999999984</v>
      </c>
      <c r="N25" s="4">
        <f t="shared" si="9"/>
        <v>0.26571999999999996</v>
      </c>
    </row>
    <row r="26" spans="1:14" x14ac:dyDescent="0.25">
      <c r="A26" s="15">
        <v>0.75</v>
      </c>
      <c r="B26" s="3">
        <v>0.06</v>
      </c>
      <c r="C26" s="21">
        <v>7.6</v>
      </c>
      <c r="D26" s="4">
        <f t="shared" si="1"/>
        <v>14.329999999999998</v>
      </c>
      <c r="E26" s="5">
        <v>2.8</v>
      </c>
      <c r="F26" s="3">
        <f t="shared" si="0"/>
        <v>2.7399999999999998</v>
      </c>
      <c r="G26" s="3">
        <f t="shared" si="2"/>
        <v>-0.12692199999999998</v>
      </c>
      <c r="H26" s="4">
        <f t="shared" si="3"/>
        <v>0.39264199999999994</v>
      </c>
      <c r="I26" s="31" t="str">
        <f t="shared" si="4"/>
        <v>NO</v>
      </c>
      <c r="J26" s="30" t="str">
        <f t="shared" si="5"/>
        <v>WAIT</v>
      </c>
      <c r="K26">
        <f t="shared" si="6"/>
        <v>15.95</v>
      </c>
      <c r="L26">
        <f t="shared" si="7"/>
        <v>4.6399999999999997</v>
      </c>
      <c r="M26">
        <f t="shared" si="8"/>
        <v>9.4899999999999984</v>
      </c>
      <c r="N26" s="4">
        <f t="shared" si="9"/>
        <v>0.26571999999999996</v>
      </c>
    </row>
    <row r="27" spans="1:14" x14ac:dyDescent="0.25">
      <c r="A27" s="14">
        <v>0.79166666666666663</v>
      </c>
      <c r="B27" s="6">
        <v>0</v>
      </c>
      <c r="C27" s="21">
        <v>7.6</v>
      </c>
      <c r="D27" s="4">
        <f t="shared" si="1"/>
        <v>14.329999999999998</v>
      </c>
      <c r="E27" s="8">
        <v>2.8</v>
      </c>
      <c r="F27" s="6">
        <f t="shared" si="0"/>
        <v>2.8</v>
      </c>
      <c r="G27" s="3">
        <f t="shared" si="2"/>
        <v>-0.13551999999999997</v>
      </c>
      <c r="H27" s="7">
        <f t="shared" si="3"/>
        <v>0.40123999999999993</v>
      </c>
      <c r="I27" s="31" t="str">
        <f t="shared" si="4"/>
        <v>NO</v>
      </c>
      <c r="J27" s="30" t="str">
        <f t="shared" si="5"/>
        <v>WAIT</v>
      </c>
      <c r="K27">
        <f t="shared" si="6"/>
        <v>15.95</v>
      </c>
      <c r="L27">
        <f t="shared" si="7"/>
        <v>4.6399999999999997</v>
      </c>
      <c r="M27">
        <f t="shared" si="8"/>
        <v>9.4899999999999984</v>
      </c>
      <c r="N27" s="4">
        <f t="shared" si="9"/>
        <v>0.26571999999999996</v>
      </c>
    </row>
    <row r="28" spans="1:14" x14ac:dyDescent="0.25">
      <c r="A28" s="15">
        <v>0.83333333333333337</v>
      </c>
      <c r="B28" s="3">
        <v>0</v>
      </c>
      <c r="C28" s="21">
        <v>7.6</v>
      </c>
      <c r="D28" s="4">
        <f t="shared" si="1"/>
        <v>14.329999999999998</v>
      </c>
      <c r="E28" s="5">
        <v>2.8</v>
      </c>
      <c r="F28" s="3">
        <f t="shared" si="0"/>
        <v>2.8</v>
      </c>
      <c r="G28" s="3">
        <f t="shared" si="2"/>
        <v>-0.13551999999999997</v>
      </c>
      <c r="H28" s="4">
        <f t="shared" si="3"/>
        <v>0.40123999999999993</v>
      </c>
      <c r="I28" s="31" t="str">
        <f t="shared" si="4"/>
        <v>NO</v>
      </c>
      <c r="J28" s="30" t="str">
        <f t="shared" si="5"/>
        <v>WAIT</v>
      </c>
      <c r="K28">
        <f t="shared" si="6"/>
        <v>15.95</v>
      </c>
      <c r="L28">
        <f t="shared" si="7"/>
        <v>4.6399999999999997</v>
      </c>
      <c r="M28">
        <f t="shared" si="8"/>
        <v>9.4899999999999984</v>
      </c>
      <c r="N28" s="4">
        <f t="shared" si="9"/>
        <v>0.26571999999999996</v>
      </c>
    </row>
    <row r="29" spans="1:14" x14ac:dyDescent="0.25">
      <c r="A29" s="14">
        <v>0.875</v>
      </c>
      <c r="B29" s="6">
        <v>0</v>
      </c>
      <c r="C29" s="21">
        <v>7.6</v>
      </c>
      <c r="D29" s="4">
        <f t="shared" si="1"/>
        <v>14.329999999999998</v>
      </c>
      <c r="E29" s="8">
        <v>2.8</v>
      </c>
      <c r="F29" s="6">
        <f t="shared" si="0"/>
        <v>2.8</v>
      </c>
      <c r="G29" s="3">
        <f t="shared" si="2"/>
        <v>-0.13551999999999997</v>
      </c>
      <c r="H29" s="7">
        <f t="shared" si="3"/>
        <v>0.40123999999999993</v>
      </c>
      <c r="I29" s="31" t="str">
        <f t="shared" si="4"/>
        <v>NO</v>
      </c>
      <c r="J29" s="30" t="str">
        <f t="shared" si="5"/>
        <v>WAIT</v>
      </c>
      <c r="K29">
        <f t="shared" si="6"/>
        <v>15.95</v>
      </c>
      <c r="L29">
        <f t="shared" si="7"/>
        <v>4.6399999999999997</v>
      </c>
      <c r="M29">
        <f t="shared" si="8"/>
        <v>9.4899999999999984</v>
      </c>
      <c r="N29" s="4">
        <f t="shared" si="9"/>
        <v>0.26571999999999996</v>
      </c>
    </row>
    <row r="30" spans="1:14" x14ac:dyDescent="0.25">
      <c r="A30" s="15">
        <v>0.91666666666666663</v>
      </c>
      <c r="B30" s="3">
        <v>0</v>
      </c>
      <c r="C30" s="4">
        <v>4.6399999999999997</v>
      </c>
      <c r="D30" s="4">
        <f t="shared" si="1"/>
        <v>9.4899999999999984</v>
      </c>
      <c r="E30" s="5">
        <v>2.8</v>
      </c>
      <c r="F30" s="3">
        <f t="shared" si="0"/>
        <v>2.8</v>
      </c>
      <c r="G30" s="3">
        <f t="shared" si="2"/>
        <v>0</v>
      </c>
      <c r="H30" s="4">
        <f t="shared" si="3"/>
        <v>0.26571999999999996</v>
      </c>
      <c r="I30" s="31" t="str">
        <f t="shared" si="4"/>
        <v>NO</v>
      </c>
      <c r="J30" s="30" t="str">
        <f t="shared" si="5"/>
        <v>GOOD</v>
      </c>
      <c r="K30">
        <f t="shared" si="6"/>
        <v>15.95</v>
      </c>
      <c r="L30">
        <f t="shared" si="7"/>
        <v>4.6399999999999997</v>
      </c>
      <c r="M30">
        <f t="shared" si="8"/>
        <v>9.4899999999999984</v>
      </c>
      <c r="N30" s="4">
        <f t="shared" si="9"/>
        <v>0.26571999999999996</v>
      </c>
    </row>
    <row r="31" spans="1:14" x14ac:dyDescent="0.25">
      <c r="A31" s="14">
        <v>0.95833333333333337</v>
      </c>
      <c r="B31" s="6">
        <v>0</v>
      </c>
      <c r="C31" s="7">
        <v>4.6399999999999997</v>
      </c>
      <c r="D31" s="4">
        <f t="shared" si="1"/>
        <v>9.4899999999999984</v>
      </c>
      <c r="E31" s="8">
        <v>2.8</v>
      </c>
      <c r="F31" s="6">
        <f t="shared" si="0"/>
        <v>2.8</v>
      </c>
      <c r="G31" s="3">
        <f t="shared" si="2"/>
        <v>0</v>
      </c>
      <c r="H31" s="7">
        <f t="shared" si="3"/>
        <v>0.26571999999999996</v>
      </c>
      <c r="I31" s="31" t="str">
        <f t="shared" si="4"/>
        <v>NO</v>
      </c>
      <c r="J31" s="30" t="str">
        <f t="shared" si="5"/>
        <v>GOOD</v>
      </c>
      <c r="K31">
        <f t="shared" si="6"/>
        <v>15.95</v>
      </c>
      <c r="L31">
        <f t="shared" si="7"/>
        <v>4.6399999999999997</v>
      </c>
      <c r="M31">
        <f t="shared" si="8"/>
        <v>9.4899999999999984</v>
      </c>
      <c r="N31" s="4">
        <f t="shared" si="9"/>
        <v>0.26571999999999996</v>
      </c>
    </row>
    <row r="32" spans="1:14" x14ac:dyDescent="0.25"/>
  </sheetData>
  <phoneticPr fontId="4" type="noConversion"/>
  <conditionalFormatting sqref="K2:K3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orientation="portrait" r:id="rId1"/>
  <ignoredErrors>
    <ignoredError sqref="K2:M2 D2" calculatedColumn="1"/>
  </ignoredErrors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33CF9B-67DF-4A73-AF36-D50742EF57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 Charging Optimizer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israel real</cp:lastModifiedBy>
  <dcterms:created xsi:type="dcterms:W3CDTF">2026-03-24T06:59:54Z</dcterms:created>
  <dcterms:modified xsi:type="dcterms:W3CDTF">2026-05-04T17:52:34Z</dcterms:modified>
</cp:coreProperties>
</file>